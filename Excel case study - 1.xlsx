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anish k jha\Downloads\"/>
    </mc:Choice>
  </mc:AlternateContent>
  <xr:revisionPtr revIDLastSave="0" documentId="13_ncr:1_{1B513B5B-0020-40F8-A572-D6BA011482D0}" xr6:coauthVersionLast="47" xr6:coauthVersionMax="47" xr10:uidLastSave="{00000000-0000-0000-0000-000000000000}"/>
  <workbookProtection lockStructure="1"/>
  <bookViews>
    <workbookView xWindow="-110" yWindow="-110" windowWidth="19420" windowHeight="10300" tabRatio="758" activeTab="4"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definedNames>
    <definedName name="Slicer_BLOODTYPE">#N/A</definedName>
    <definedName name="Slicer_LANGUAGE">#N/A</definedName>
    <definedName name="Slicer_SPORTS">#N/A</definedName>
    <definedName name="Slicer_Years__BIRTHDATE">#N/A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M2" i="1"/>
  <c r="Q5" i="1"/>
  <c r="Q48" i="1"/>
  <c r="Q49" i="1"/>
  <c r="Q50" i="1"/>
  <c r="Q51" i="1"/>
  <c r="Q39" i="1"/>
  <c r="Q40" i="1"/>
  <c r="Q41" i="1"/>
  <c r="Q42" i="1"/>
  <c r="Q43" i="1"/>
  <c r="Q44" i="1"/>
  <c r="Q45" i="1"/>
  <c r="Q46" i="1"/>
  <c r="Q47" i="1"/>
  <c r="Q27" i="1"/>
  <c r="Q28" i="1"/>
  <c r="Q29" i="1"/>
  <c r="Q30" i="1"/>
  <c r="Q31" i="1"/>
  <c r="Q32" i="1"/>
  <c r="Q33" i="1"/>
  <c r="Q34" i="1"/>
  <c r="Q35" i="1"/>
  <c r="Q36" i="1"/>
  <c r="Q37" i="1"/>
  <c r="Q38" i="1"/>
  <c r="Q17" i="1"/>
  <c r="Q18" i="1"/>
  <c r="Q19" i="1"/>
  <c r="Q20" i="1"/>
  <c r="Q21" i="1"/>
  <c r="Q22" i="1"/>
  <c r="Q23" i="1"/>
  <c r="Q24" i="1"/>
  <c r="Q25" i="1"/>
  <c r="Q26" i="1"/>
  <c r="Q7" i="1"/>
  <c r="Q8" i="1"/>
  <c r="Q9" i="1"/>
  <c r="Q10" i="1"/>
  <c r="Q11" i="1"/>
  <c r="Q12" i="1"/>
  <c r="Q13" i="1"/>
  <c r="Q14" i="1"/>
  <c r="Q15" i="1"/>
  <c r="Q16" i="1"/>
  <c r="Q3" i="1"/>
  <c r="Q4" i="1"/>
  <c r="Q6"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10" i="1"/>
  <c r="L11" i="1"/>
  <c r="L12" i="1"/>
  <c r="L13" i="1"/>
  <c r="L14" i="1"/>
  <c r="L15" i="1"/>
  <c r="L5" i="1"/>
  <c r="L6" i="1"/>
  <c r="L7" i="1"/>
  <c r="L8" i="1"/>
  <c r="L9" i="1"/>
  <c r="L3" i="1"/>
  <c r="L4" i="1"/>
  <c r="L2"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15" i="1"/>
  <c r="K11" i="1"/>
  <c r="K12" i="1"/>
  <c r="K13" i="1"/>
  <c r="K14" i="1"/>
  <c r="K3" i="1"/>
  <c r="K4" i="1"/>
  <c r="K5" i="1"/>
  <c r="K6" i="1"/>
  <c r="K7" i="1"/>
  <c r="K8" i="1"/>
  <c r="K9" i="1"/>
  <c r="K10" i="1"/>
  <c r="K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 r="I7" i="7" l="1"/>
  <c r="I10" i="7"/>
  <c r="I11" i="7"/>
  <c r="I12" i="7"/>
  <c r="I16" i="7"/>
  <c r="I6" i="7"/>
  <c r="I8" i="7"/>
  <c r="I9" i="7"/>
  <c r="I14" i="7"/>
  <c r="I13" i="7"/>
  <c r="I15" i="7"/>
  <c r="H10" i="7"/>
  <c r="H14" i="7"/>
  <c r="H15" i="7"/>
  <c r="H16" i="7"/>
  <c r="H7" i="7"/>
  <c r="H9" i="7"/>
  <c r="H11" i="7"/>
  <c r="H12" i="7"/>
  <c r="H6" i="7"/>
  <c r="H13" i="7"/>
  <c r="H8" i="7"/>
</calcChain>
</file>

<file path=xl/sharedStrings.xml><?xml version="1.0" encoding="utf-8"?>
<sst xmlns="http://schemas.openxmlformats.org/spreadsheetml/2006/main" count="1059" uniqueCount="424">
  <si>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</si>
  <si>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</si>
  <si>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</si>
  <si>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</si>
  <si>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</si>
  <si>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</si>
  <si>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</si>
  <si>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</si>
  <si>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</si>
  <si>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</si>
  <si>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</si>
  <si>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</si>
  <si>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</si>
  <si>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</si>
  <si>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</si>
  <si>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</si>
  <si>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</si>
  <si>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</si>
  <si>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</si>
  <si>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</si>
  <si>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</si>
  <si>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</si>
  <si>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</si>
  <si>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</si>
  <si>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</si>
  <si>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</si>
  <si>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</si>
  <si>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</si>
  <si>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</si>
  <si>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</si>
  <si>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</si>
  <si>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</si>
  <si>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</si>
  <si>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</si>
  <si>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</si>
  <si>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</si>
  <si>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</si>
  <si>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</si>
  <si>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</si>
  <si>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</si>
  <si>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</si>
  <si>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</si>
  <si>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</si>
  <si>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</si>
  <si>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</si>
  <si>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</si>
  <si>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</si>
  <si>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</si>
  <si>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</si>
  <si>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</si>
  <si>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</si>
  <si>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</si>
  <si>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</si>
  <si>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</si>
  <si>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</si>
  <si>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</si>
  <si>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</si>
  <si>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</si>
  <si>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</si>
  <si>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</si>
  <si>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</si>
  <si>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</si>
  <si>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</si>
  <si>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</si>
  <si>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</si>
  <si>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</si>
  <si>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</si>
  <si>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</si>
  <si>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</si>
  <si>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</si>
  <si>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</si>
  <si>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</si>
  <si>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</si>
  <si>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</si>
  <si>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</si>
  <si>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</si>
  <si>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</si>
  <si>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</si>
  <si>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</si>
  <si>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</si>
  <si>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</si>
  <si>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</si>
  <si>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</si>
  <si>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</si>
  <si>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</si>
  <si>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</si>
  <si>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</si>
  <si>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</si>
  <si>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</si>
  <si>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</si>
  <si>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</si>
  <si>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</si>
  <si>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</si>
  <si>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</si>
  <si>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</si>
  <si>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</si>
  <si>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</si>
  <si>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</si>
  <si>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</si>
  <si>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</si>
  <si>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</si>
  <si>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</si>
  <si>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</si>
  <si>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</si>
  <si>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</si>
  <si>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</si>
  <si>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</si>
  <si>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</si>
  <si>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</si>
  <si>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</si>
  <si>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</si>
  <si>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</si>
  <si>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</si>
  <si>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</si>
  <si>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</si>
  <si>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</si>
  <si>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</si>
  <si>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</si>
  <si>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</si>
  <si>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</si>
  <si>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</si>
  <si>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</si>
  <si>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</si>
  <si>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</si>
  <si>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</si>
  <si>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</si>
  <si>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</si>
  <si>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</si>
  <si>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</si>
  <si>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</si>
  <si>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</si>
  <si>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</si>
  <si>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</si>
  <si>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</si>
  <si>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</si>
  <si>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</si>
  <si>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</si>
  <si>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</si>
  <si>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</si>
  <si>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</si>
  <si>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</si>
  <si>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</si>
  <si>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</si>
  <si>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</si>
  <si>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</si>
  <si>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</si>
  <si>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</si>
  <si>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</si>
  <si>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</si>
  <si>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</si>
  <si>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</si>
  <si>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</si>
  <si>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</si>
  <si>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</si>
  <si>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</si>
  <si>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</si>
  <si>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</si>
  <si>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</si>
  <si>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</si>
  <si>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</si>
  <si>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</si>
  <si>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</si>
  <si>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</si>
  <si>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</si>
  <si>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</si>
  <si>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</si>
  <si>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</si>
  <si>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</si>
  <si>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</si>
  <si>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</si>
  <si>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</si>
  <si>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</si>
  <si>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</si>
  <si>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</si>
  <si>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</si>
  <si>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</si>
  <si>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</si>
  <si>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</si>
  <si>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</si>
  <si>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</si>
  <si>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</si>
  <si>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</si>
  <si>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</si>
  <si>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</si>
  <si>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</si>
  <si>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</si>
  <si>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</si>
  <si>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</si>
  <si>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</si>
  <si>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</si>
  <si>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</si>
  <si>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</si>
  <si>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</si>
  <si>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</si>
  <si>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</si>
  <si>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</si>
  <si>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</si>
  <si>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</si>
  <si>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</si>
  <si>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</si>
  <si>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</si>
  <si>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</si>
  <si>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</si>
  <si>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</si>
  <si>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</si>
  <si>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</si>
  <si>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</si>
  <si>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</si>
  <si>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</si>
  <si>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</si>
  <si>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</si>
  <si>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</si>
  <si>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</si>
  <si>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</si>
  <si>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</si>
  <si>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</si>
  <si>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</si>
  <si>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</si>
  <si>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</si>
  <si>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</si>
  <si>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</si>
  <si>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</si>
  <si>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</si>
  <si>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</si>
  <si>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</si>
  <si>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</si>
  <si>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</si>
  <si>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</si>
  <si>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</si>
  <si>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</si>
  <si>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</si>
  <si>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</si>
  <si>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</si>
  <si>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</si>
  <si>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</si>
  <si>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</si>
  <si>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</si>
  <si>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</si>
  <si>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</si>
  <si>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</si>
  <si>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</si>
  <si>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</si>
  <si>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</si>
  <si>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</si>
  <si>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</si>
  <si>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</si>
  <si>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</si>
  <si>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</si>
  <si>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</si>
  <si>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</si>
  <si>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</si>
  <si>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</si>
  <si>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</si>
  <si>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</si>
  <si>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</si>
  <si>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</si>
  <si>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</si>
  <si>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</si>
  <si>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</si>
  <si>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</si>
  <si>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</si>
  <si>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</si>
  <si>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</si>
  <si>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</si>
  <si>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</si>
  <si>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</si>
  <si>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</si>
  <si>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</si>
  <si>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</si>
  <si>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</si>
  <si>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</si>
  <si>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</si>
  <si>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</si>
  <si>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</si>
  <si>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</si>
  <si>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</si>
  <si>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</si>
  <si>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</si>
  <si>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</si>
  <si>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</si>
  <si>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</si>
  <si>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</si>
  <si>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</si>
  <si>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Row Labels</t>
  </si>
  <si>
    <t>Count of MEMBER ID</t>
  </si>
  <si>
    <t/>
  </si>
  <si>
    <t>Gender</t>
  </si>
  <si>
    <t>MS. ANNIE ABBOTT</t>
  </si>
  <si>
    <t>MS. AURELIE LIESUCHKE</t>
  </si>
  <si>
    <t>SR. TOMAS FILHO</t>
  </si>
  <si>
    <t>MS. DARBY CRUICKSHANK</t>
  </si>
  <si>
    <t>DR. JAYDON BORER</t>
  </si>
  <si>
    <t>MR. MORIAH  LYNCH</t>
  </si>
  <si>
    <t>MS. AMIYA EICHMANN</t>
  </si>
  <si>
    <t>MR. PIERCE RAU</t>
  </si>
  <si>
    <t>MS. AMELIA STEVENS</t>
  </si>
  <si>
    <t>MR. TOBY SIMPSON</t>
  </si>
  <si>
    <t>SIR ETHAN MURPHY</t>
  </si>
  <si>
    <t>MRS. ASHLEY WOOD</t>
  </si>
  <si>
    <t>MS. MEGAN SCOTT</t>
  </si>
  <si>
    <t>HR. HELMUT WEINHAE</t>
  </si>
  <si>
    <t>PROF. MILENA SCHOTIN</t>
  </si>
  <si>
    <t>HR. LOTHAR BIRNBAUM</t>
  </si>
  <si>
    <t>HR. PIETRO STOLZE</t>
  </si>
  <si>
    <t>HR. RICHARD  TLUSTEK</t>
  </si>
  <si>
    <t>DR. EARNESTINE RAYNOR</t>
  </si>
  <si>
    <t>MR. JASON GAYLORD</t>
  </si>
  <si>
    <t>MR. KENDRICK SAUER</t>
  </si>
  <si>
    <t>DR. ANNABELL OLSON</t>
  </si>
  <si>
    <t>DR. JENA UPTON</t>
  </si>
  <si>
    <t>DR. SHANNY BINS</t>
  </si>
  <si>
    <t>DR. TIA ABSHIRE</t>
  </si>
  <si>
    <t>MS. ISABEL RUNOLFSDOTTIR</t>
  </si>
  <si>
    <t>HR. BARNEY WESACK</t>
  </si>
  <si>
    <t>HR. BARUCH KADE</t>
  </si>
  <si>
    <t>PROF. LIESBETH ROSEMANN</t>
  </si>
  <si>
    <t>MME. VALENTINE MOREAU</t>
  </si>
  <si>
    <t>MME. PAULETTE DURAND</t>
  </si>
  <si>
    <t>MME. LAURE-ALIX CHEVALIER</t>
  </si>
  <si>
    <t>M. CLAUDE TOUSSAINT</t>
  </si>
  <si>
    <t>M. VICTOR LENOIR</t>
  </si>
  <si>
    <t>M. ARTHUR LENOIR</t>
  </si>
  <si>
    <t>M. BENJAMIN LEBRUN-BRUN</t>
  </si>
  <si>
    <t>M. ANTOINE MAILLARD</t>
  </si>
  <si>
    <t>M. BERNARD HOARAU-GUYON</t>
  </si>
  <si>
    <t>SR. HIDALGO TERCERO</t>
  </si>
  <si>
    <t>SR. HADALGO POLANCO</t>
  </si>
  <si>
    <t>SRA. LAURA OLIVIERA</t>
  </si>
  <si>
    <t>SRA. AINHOA GARZA</t>
  </si>
  <si>
    <t>SRA. ISABEL BANDA</t>
  </si>
  <si>
    <t>SRA. CAROLOTA MATEOS</t>
  </si>
  <si>
    <t>MW. ELIZE PRINS</t>
  </si>
  <si>
    <t>DHR. RYAN PHAM</t>
  </si>
  <si>
    <t>MW ELISE ROTTEVEEL</t>
  </si>
  <si>
    <t>FRU. MIRJAM SODERBERG</t>
  </si>
  <si>
    <t>H. BERNDT PALSSON</t>
  </si>
  <si>
    <t>SR. ADRIANO SOBRINHO</t>
  </si>
  <si>
    <t>abbott.annie@xyz.org</t>
  </si>
  <si>
    <t>abshire.tia@xyz.org</t>
  </si>
  <si>
    <t>banda.isabel@xyz.com</t>
  </si>
  <si>
    <t>bins.shanny@xyz.org</t>
  </si>
  <si>
    <t>birnbaum.lothar@xyz.com</t>
  </si>
  <si>
    <t>borer.jaydon@xyz.org</t>
  </si>
  <si>
    <t>chevalier.laure-alix@xyz.com</t>
  </si>
  <si>
    <t>cruickshank.darby@xyz.org</t>
  </si>
  <si>
    <t>durand.paulette@xyz.com</t>
  </si>
  <si>
    <t>eichmann.amiya@xyz.org</t>
  </si>
  <si>
    <t>filho.tomas@xyz.com</t>
  </si>
  <si>
    <t>garza.ainhoa@xyz.com</t>
  </si>
  <si>
    <t>gaylord.jason@xyz.org</t>
  </si>
  <si>
    <t>hoarau-guyon.bernard@xyz.com</t>
  </si>
  <si>
    <t>kade.baruch@xyz.com</t>
  </si>
  <si>
    <t>lebrun-brun.benjamin@xyz.com</t>
  </si>
  <si>
    <t>lenoir.arthur@xyz.com</t>
  </si>
  <si>
    <t>lenoir.victor@xyz.com</t>
  </si>
  <si>
    <t>liesuchke.aurelie@xyz.org</t>
  </si>
  <si>
    <t>lynch.moriah @xyz.org</t>
  </si>
  <si>
    <t>maillard.antoine@xyz.com</t>
  </si>
  <si>
    <t>mateos.carolota@xyz.com</t>
  </si>
  <si>
    <t>moreau.valentine@xyz.com</t>
  </si>
  <si>
    <t>murphy.ethan@xyz.org</t>
  </si>
  <si>
    <t>oliviera.laura@xyz.com</t>
  </si>
  <si>
    <t>olson.annabell@xyz.org</t>
  </si>
  <si>
    <t>palsson.berndt@xyz.com</t>
  </si>
  <si>
    <t>pham.ryan@xyz.com</t>
  </si>
  <si>
    <t>polanco.hadalgo@xyz.com</t>
  </si>
  <si>
    <t>prins.elize@xyz.com</t>
  </si>
  <si>
    <t>rau.pierce@xyz.org</t>
  </si>
  <si>
    <t>raynor.earnestine@xyz.org</t>
  </si>
  <si>
    <t>rosemann.liesbeth@xyz.com</t>
  </si>
  <si>
    <t>rotteveel.elise@xyz.com</t>
  </si>
  <si>
    <t>runolfsdottir.isabel@xyz.org</t>
  </si>
  <si>
    <t>sauer.kendrick@xyz.org</t>
  </si>
  <si>
    <t>schotin.milena@xyz.com</t>
  </si>
  <si>
    <t>scott.megan@xyz.org</t>
  </si>
  <si>
    <t>simpson.toby@xyz.org</t>
  </si>
  <si>
    <t>sobrinho.adriano@xyz.com</t>
  </si>
  <si>
    <t>soderberg.mirjam@xyz.com</t>
  </si>
  <si>
    <t>stevens.amelia@xyz.org</t>
  </si>
  <si>
    <t>stolze.pietro@xyz.com</t>
  </si>
  <si>
    <t>tercero.hidalgo@xyz.com</t>
  </si>
  <si>
    <t>tlustek.richard @xyz.com</t>
  </si>
  <si>
    <t>toussaint.claude@xyz.com</t>
  </si>
  <si>
    <t>upton.jena@xyz.org</t>
  </si>
  <si>
    <t>weinhae.helmut@xyz.com</t>
  </si>
  <si>
    <t>wesack.barney@xyz.com</t>
  </si>
  <si>
    <t>wood.ashley@xyz.org</t>
  </si>
  <si>
    <t>1997</t>
  </si>
  <si>
    <t>1992</t>
  </si>
  <si>
    <t>1969</t>
  </si>
  <si>
    <t>1975</t>
  </si>
  <si>
    <t>1970</t>
  </si>
  <si>
    <t>1999</t>
  </si>
  <si>
    <t>1963</t>
  </si>
  <si>
    <t>1971</t>
  </si>
  <si>
    <t>1964</t>
  </si>
  <si>
    <t>1986</t>
  </si>
  <si>
    <t>1977</t>
  </si>
  <si>
    <t>1959</t>
  </si>
  <si>
    <t>1965</t>
  </si>
  <si>
    <t>1972</t>
  </si>
  <si>
    <t>1976</t>
  </si>
  <si>
    <t>1996</t>
  </si>
  <si>
    <t>1955</t>
  </si>
  <si>
    <t>1966</t>
  </si>
  <si>
    <t>1978</t>
  </si>
  <si>
    <t>1982</t>
  </si>
  <si>
    <t>1994</t>
  </si>
  <si>
    <t>1979</t>
  </si>
  <si>
    <t>1989</t>
  </si>
  <si>
    <t>1980</t>
  </si>
  <si>
    <t>1981</t>
  </si>
  <si>
    <t>1983</t>
  </si>
  <si>
    <t>1984</t>
  </si>
  <si>
    <t>1988</t>
  </si>
  <si>
    <t>1974</t>
  </si>
  <si>
    <t>1990</t>
  </si>
  <si>
    <t>1960</t>
  </si>
  <si>
    <t>1973</t>
  </si>
  <si>
    <t>1968</t>
  </si>
  <si>
    <t>1987</t>
  </si>
  <si>
    <t>1993</t>
  </si>
  <si>
    <t>(All)</t>
  </si>
  <si>
    <t>Years (BIRTHDATE)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</si>
</sst>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dd/mmm/yyyy"/>
    <numFmt numFmtId="166" formatCode="00&quot;kg&quot;"/>
    <numFmt numFmtId="167" formatCode="[&lt;100000]0.00&quot;k&quot;;\ 0.0,\ &quot;k&quot;"/>
  </numFmts>
  <fonts count="13"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sz val="1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56">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164" fontId="1" fillId="2" borderId="1" xfId="0" applyNumberFormat="1" applyFont="1" applyFill="1" applyBorder="1" applyAlignment="1">
      <alignment horizontal="left"/>
    </xf>
    <xf numFmtId="164" fontId="0" fillId="0" borderId="1" xfId="0" applyNumberFormat="1" applyBorder="1"/>
    <xf numFmtId="164" fontId="0" fillId="0" borderId="0" xfId="0" applyNumberFormat="1"/>
    <xf numFmtId="165" fontId="1" fillId="2" borderId="1" xfId="0" applyNumberFormat="1" applyFont="1" applyFill="1" applyBorder="1" applyAlignment="1">
      <alignment horizontal="left"/>
    </xf>
    <xf numFmtId="165" fontId="0" fillId="0" borderId="1" xfId="0" applyNumberFormat="1" applyBorder="1" applyAlignment="1">
      <alignment horizontal="right"/>
    </xf>
    <xf numFmtId="165" fontId="0" fillId="0" borderId="0" xfId="0" applyNumberFormat="1"/>
    <xf numFmtId="166" fontId="1" fillId="2" borderId="1" xfId="0" applyNumberFormat="1" applyFont="1" applyFill="1" applyBorder="1" applyAlignment="1">
      <alignment horizontal="left"/>
    </xf>
    <xf numFmtId="166" fontId="0" fillId="0" borderId="1" xfId="0" applyNumberFormat="1" applyBorder="1"/>
    <xf numFmtId="166" fontId="0" fillId="0" borderId="0" xfId="0" applyNumberFormat="1"/>
    <xf numFmtId="167" fontId="1" fillId="2" borderId="1" xfId="0" applyNumberFormat="1" applyFont="1" applyFill="1" applyBorder="1" applyAlignment="1">
      <alignment horizontal="left"/>
    </xf>
    <xf numFmtId="167" fontId="0" fillId="0" borderId="1" xfId="0" applyNumberFormat="1" applyBorder="1"/>
    <xf numFmtId="167" fontId="0" fillId="0" borderId="0" xfId="0" applyNumberFormat="1"/>
    <xf numFmtId="0" fontId="0" fillId="0" borderId="0" xfId="0" pivotButton="1"/>
    <xf numFmtId="0" fontId="12" fillId="2" borderId="1" xfId="0" applyFont="1" applyFill="1" applyBorder="1"/>
    <xf numFmtId="0" fontId="0" fillId="0" borderId="1" xfId="0" pivotButton="1" applyBorder="1"/>
    <xf numFmtId="0" fontId="3" fillId="6" borderId="0" xfId="0" applyFont="1" applyFill="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0" fontId="0" fillId="2" borderId="1" xfId="0" applyFill="1" applyBorder="1" applyAlignment="1">
      <alignment horizontal="center"/>
    </xf>
  </cellXfs>
  <cellStyles count="1">
    <cellStyle name="Normal" xfId="0" builtinId="0"/>
  </cellStyles>
  <dxfs count="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2" defaultTableStyle="TableStyleMedium2" defaultPivotStyle="PivotStyleLight16">
    <tableStyle name="PivotTable Style 1" table="0" count="0" xr9:uid="{18523CC2-228E-4457-94AB-401ADEEFBAAB}"/>
    <tableStyle name="Slicer Style 1" pivot="0" table="0" count="0" xr9:uid="{F88D9253-BFE0-490D-951E-1E400CC0911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8</xdr:col>
      <xdr:colOff>12700</xdr:colOff>
      <xdr:row>1</xdr:row>
      <xdr:rowOff>165101</xdr:rowOff>
    </xdr:from>
    <xdr:to>
      <xdr:col>11</xdr:col>
      <xdr:colOff>12700</xdr:colOff>
      <xdr:row>13</xdr:row>
      <xdr:rowOff>1</xdr:rowOff>
    </xdr:to>
    <mc:AlternateContent xmlns:mc="http://schemas.openxmlformats.org/markup-compatibility/2006">
      <mc:Choice xmlns:a14="http://schemas.microsoft.com/office/drawing/2010/main" Requires="a14">
        <xdr:graphicFrame macro="">
          <xdr:nvGraphicFramePr>
            <xdr:cNvPr id="2" name="BLOODTYPE">
              <a:extLst>
                <a:ext uri="{FF2B5EF4-FFF2-40B4-BE49-F238E27FC236}">
                  <a16:creationId xmlns:a16="http://schemas.microsoft.com/office/drawing/2014/main" id="{603E27D5-A1C6-4316-B4D8-AAE50AC9DBA1}"/>
                </a:ext>
              </a:extLst>
            </xdr:cNvPr>
            <xdr:cNvGraphicFramePr/>
          </xdr:nvGraphicFramePr>
          <xdr:xfrm>
            <a:off x="0" y="0"/>
            <a:ext cx="0" cy="0"/>
          </xdr:xfrm>
          <a:graphic>
            <a:graphicData uri="http://schemas.microsoft.com/office/drawing/2010/slicer">
              <sle:slicer xmlns:sle="http://schemas.microsoft.com/office/drawing/2010/slicer" name="BLOODTYPE"/>
            </a:graphicData>
          </a:graphic>
        </xdr:graphicFrame>
      </mc:Choice>
      <mc:Fallback>
        <xdr:sp macro="" textlink="">
          <xdr:nvSpPr>
            <xdr:cNvPr id="0" name=""/>
            <xdr:cNvSpPr>
              <a:spLocks noTextEdit="1"/>
            </xdr:cNvSpPr>
          </xdr:nvSpPr>
          <xdr:spPr>
            <a:xfrm>
              <a:off x="9347200" y="349251"/>
              <a:ext cx="1828800" cy="2044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xdr:colOff>
      <xdr:row>26</xdr:row>
      <xdr:rowOff>133350</xdr:rowOff>
    </xdr:from>
    <xdr:to>
      <xdr:col>11</xdr:col>
      <xdr:colOff>12700</xdr:colOff>
      <xdr:row>40</xdr:row>
      <xdr:rowOff>79375</xdr:rowOff>
    </xdr:to>
    <mc:AlternateContent xmlns:mc="http://schemas.openxmlformats.org/markup-compatibility/2006">
      <mc:Choice xmlns:a14="http://schemas.microsoft.com/office/drawing/2010/main" Requires="a14">
        <xdr:graphicFrame macro="">
          <xdr:nvGraphicFramePr>
            <xdr:cNvPr id="3" name="SPORTS">
              <a:extLst>
                <a:ext uri="{FF2B5EF4-FFF2-40B4-BE49-F238E27FC236}">
                  <a16:creationId xmlns:a16="http://schemas.microsoft.com/office/drawing/2014/main" id="{002ABE2B-239D-5692-6655-FFB35303F8A8}"/>
                </a:ext>
              </a:extLst>
            </xdr:cNvPr>
            <xdr:cNvGraphicFramePr/>
          </xdr:nvGraphicFramePr>
          <xdr:xfrm>
            <a:off x="0" y="0"/>
            <a:ext cx="0" cy="0"/>
          </xdr:xfrm>
          <a:graphic>
            <a:graphicData uri="http://schemas.microsoft.com/office/drawing/2010/slicer">
              <sle:slicer xmlns:sle="http://schemas.microsoft.com/office/drawing/2010/slicer" name="SPORTS"/>
            </a:graphicData>
          </a:graphic>
        </xdr:graphicFrame>
      </mc:Choice>
      <mc:Fallback>
        <xdr:sp macro="" textlink="">
          <xdr:nvSpPr>
            <xdr:cNvPr id="0" name=""/>
            <xdr:cNvSpPr>
              <a:spLocks noTextEdit="1"/>
            </xdr:cNvSpPr>
          </xdr:nvSpPr>
          <xdr:spPr>
            <a:xfrm>
              <a:off x="9347200" y="4921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xdr:colOff>
      <xdr:row>13</xdr:row>
      <xdr:rowOff>0</xdr:rowOff>
    </xdr:from>
    <xdr:to>
      <xdr:col>11</xdr:col>
      <xdr:colOff>12700</xdr:colOff>
      <xdr:row>26</xdr:row>
      <xdr:rowOff>130175</xdr:rowOff>
    </xdr:to>
    <mc:AlternateContent xmlns:mc="http://schemas.openxmlformats.org/markup-compatibility/2006">
      <mc:Choice xmlns:a14="http://schemas.microsoft.com/office/drawing/2010/main" Requires="a14">
        <xdr:graphicFrame macro="">
          <xdr:nvGraphicFramePr>
            <xdr:cNvPr id="4" name="Years (BIRTHDATE)">
              <a:extLst>
                <a:ext uri="{FF2B5EF4-FFF2-40B4-BE49-F238E27FC236}">
                  <a16:creationId xmlns:a16="http://schemas.microsoft.com/office/drawing/2014/main" id="{750CAB91-0216-CD16-E501-D87F6278CF8E}"/>
                </a:ext>
              </a:extLst>
            </xdr:cNvPr>
            <xdr:cNvGraphicFramePr/>
          </xdr:nvGraphicFramePr>
          <xdr:xfrm>
            <a:off x="0" y="0"/>
            <a:ext cx="0" cy="0"/>
          </xdr:xfrm>
          <a:graphic>
            <a:graphicData uri="http://schemas.microsoft.com/office/drawing/2010/slicer">
              <sle:slicer xmlns:sle="http://schemas.microsoft.com/office/drawing/2010/slicer" name="Years (BIRTHDATE)"/>
            </a:graphicData>
          </a:graphic>
        </xdr:graphicFrame>
      </mc:Choice>
      <mc:Fallback>
        <xdr:sp macro="" textlink="">
          <xdr:nvSpPr>
            <xdr:cNvPr id="0" name=""/>
            <xdr:cNvSpPr>
              <a:spLocks noTextEdit="1"/>
            </xdr:cNvSpPr>
          </xdr:nvSpPr>
          <xdr:spPr>
            <a:xfrm>
              <a:off x="9347200" y="2393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xdr:colOff>
      <xdr:row>40</xdr:row>
      <xdr:rowOff>82551</xdr:rowOff>
    </xdr:from>
    <xdr:to>
      <xdr:col>11</xdr:col>
      <xdr:colOff>12700</xdr:colOff>
      <xdr:row>53</xdr:row>
      <xdr:rowOff>6351</xdr:rowOff>
    </xdr:to>
    <mc:AlternateContent xmlns:mc="http://schemas.openxmlformats.org/markup-compatibility/2006">
      <mc:Choice xmlns:a14="http://schemas.microsoft.com/office/drawing/2010/main" Requires="a14">
        <xdr:graphicFrame macro="">
          <xdr:nvGraphicFramePr>
            <xdr:cNvPr id="6" name="LANGUAGE">
              <a:extLst>
                <a:ext uri="{FF2B5EF4-FFF2-40B4-BE49-F238E27FC236}">
                  <a16:creationId xmlns:a16="http://schemas.microsoft.com/office/drawing/2014/main" id="{A9C29B19-C2D2-392E-82D0-76669ADDFFE7}"/>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dr:sp macro="" textlink="">
          <xdr:nvSpPr>
            <xdr:cNvPr id="0" name=""/>
            <xdr:cNvSpPr>
              <a:spLocks noTextEdit="1"/>
            </xdr:cNvSpPr>
          </xdr:nvSpPr>
          <xdr:spPr>
            <a:xfrm>
              <a:off x="9347200" y="7448551"/>
              <a:ext cx="1828800" cy="231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k jha" refreshedDate="45972.554140162036" createdVersion="8" refreshedVersion="8" minRefreshableVersion="3" recordCount="50" xr:uid="{C9508453-7093-4648-B39C-5BB6B4A20287}">
  <cacheSource type="worksheet">
    <worksheetSource ref="A1:S51" sheet="SPORTSMEN"/>
  </cacheSource>
  <cacheFields count="22">
    <cacheField name="MEMBER ID" numFmtId="164">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TERCERO"/>
        <s v="SR. HADALGO POLANCO"/>
        <s v="SRA. LAURA OLIVIERA"/>
        <s v="SRA. AINHOA GARZA"/>
        <s v="SRA. ISABEL BANDA"/>
        <s v="SRA. CAROLOTA MATEOS"/>
        <s v="MW. ELIZE PRINS"/>
        <s v="DHR. RYAN PHAM"/>
        <s v="MW ELISE ROTTEVEEL"/>
        <s v="FRU. MIRJAM SODERBERG"/>
        <s v="H. BERNDT PALSSON"/>
        <s v="SR. ADRIANO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165">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par="21"/>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6">
      <sharedItems containsSemiMixedTypes="0" containsString="0" containsNumber="1" minValue="45.9" maxValue="105.9"/>
    </cacheField>
    <cacheField name="EYECOLOR" numFmtId="0">
      <sharedItems/>
    </cacheField>
    <cacheField name="BLOODTYPE" numFmtId="0">
      <sharedItems count="6">
        <s v="A−"/>
        <s v="O−"/>
        <s v="B−"/>
        <s v="A+"/>
        <s v="O+"/>
        <s v="B+"/>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167">
      <sharedItems containsSemiMixedTypes="0" containsString="0" containsNumber="1" containsInteger="1" minValue="10241" maxValue="117408"/>
    </cacheField>
    <cacheField name="Months (BIRTHDATE)" numFmtId="0" databaseField="0">
      <fieldGroup base="6">
        <rangePr groupBy="months" startDate="1955-07-30T00:00:00" endDate="1999-08-29T00:00:00"/>
        <groupItems count="14">
          <s v="&lt;30-07-1955"/>
          <s v="Jan"/>
          <s v="Feb"/>
          <s v="Mar"/>
          <s v="Apr"/>
          <s v="May"/>
          <s v="Jun"/>
          <s v="Jul"/>
          <s v="Aug"/>
          <s v="Sep"/>
          <s v="Oct"/>
          <s v="Nov"/>
          <s v="Dec"/>
          <s v="&gt;29-08-1999"/>
        </groupItems>
      </fieldGroup>
    </cacheField>
    <cacheField name="Quarters (BIRTHDATE)" numFmtId="0" databaseField="0">
      <fieldGroup base="6">
        <rangePr groupBy="quarters" startDate="1955-07-30T00:00:00" endDate="1999-08-29T00:00:00"/>
        <groupItems count="6">
          <s v="&lt;30-07-1955"/>
          <s v="Qtr1"/>
          <s v="Qtr2"/>
          <s v="Qtr3"/>
          <s v="Qtr4"/>
          <s v="&gt;29-08-1999"/>
        </groupItems>
      </fieldGroup>
    </cacheField>
    <cacheField name="Years (BIRTHDATE)" numFmtId="0" databaseField="0">
      <fieldGroup base="6">
        <rangePr groupBy="years" startDate="1955-07-30T00:00:00" endDate="1999-08-29T00:00:00"/>
        <groupItems count="47">
          <s v="&lt;30-07-19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29-08-1999"/>
        </groupItems>
      </fieldGroup>
    </cacheField>
  </cacheFields>
  <extLst>
    <ext xmlns:x14="http://schemas.microsoft.com/office/spreadsheetml/2009/9/main" uri="{725AE2AE-9491-48be-B2B4-4EB974FC3084}">
      <x14:pivotCacheDefinition pivotCacheId="1258232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s v="Annie"/>
    <m/>
    <s v="Abbott"/>
    <x v="0"/>
    <s v="Libra"/>
    <x v="0"/>
    <s v="US"/>
    <x v="0"/>
    <x v="0"/>
    <x v="0"/>
    <n v="94"/>
    <s v="Green"/>
    <x v="0"/>
    <x v="0"/>
    <x v="0"/>
    <n v="80727"/>
  </r>
  <r>
    <x v="1"/>
    <x v="1"/>
    <s v="Ms."/>
    <s v="Aurelie"/>
    <m/>
    <s v="Liesuchke"/>
    <x v="1"/>
    <s v="Aquarius"/>
    <x v="0"/>
    <s v="US"/>
    <x v="0"/>
    <x v="0"/>
    <x v="1"/>
    <n v="84.2"/>
    <s v="Brown"/>
    <x v="1"/>
    <x v="0"/>
    <x v="1"/>
    <n v="87471"/>
  </r>
  <r>
    <x v="2"/>
    <x v="2"/>
    <s v="Sr."/>
    <s v="Tomas"/>
    <s v="Ferreira"/>
    <s v="Filho"/>
    <x v="2"/>
    <s v="Cancer"/>
    <x v="1"/>
    <s v="BR"/>
    <x v="1"/>
    <x v="1"/>
    <x v="2"/>
    <n v="52.9"/>
    <s v="Amber"/>
    <x v="0"/>
    <x v="1"/>
    <x v="2"/>
    <n v="64724"/>
  </r>
  <r>
    <x v="3"/>
    <x v="3"/>
    <s v="Ms."/>
    <s v="Darby"/>
    <m/>
    <s v="Cruickshank"/>
    <x v="3"/>
    <s v="Taurus"/>
    <x v="0"/>
    <s v="US"/>
    <x v="0"/>
    <x v="0"/>
    <x v="3"/>
    <n v="48.9"/>
    <s v="Green"/>
    <x v="1"/>
    <x v="1"/>
    <x v="3"/>
    <n v="110823"/>
  </r>
  <r>
    <x v="4"/>
    <x v="4"/>
    <s v="Dr."/>
    <s v="Jaydon"/>
    <m/>
    <s v="Borer"/>
    <x v="4"/>
    <s v="Taurus"/>
    <x v="1"/>
    <s v="US"/>
    <x v="0"/>
    <x v="0"/>
    <x v="4"/>
    <n v="84.8"/>
    <s v="Blue"/>
    <x v="2"/>
    <x v="0"/>
    <x v="4"/>
    <n v="56916"/>
  </r>
  <r>
    <x v="5"/>
    <x v="5"/>
    <s v="Mr."/>
    <s v="Moriah "/>
    <m/>
    <s v="Lynch"/>
    <x v="5"/>
    <s v="Sagittarius"/>
    <x v="1"/>
    <s v="US"/>
    <x v="0"/>
    <x v="0"/>
    <x v="5"/>
    <n v="83.2"/>
    <s v="Blue"/>
    <x v="1"/>
    <x v="0"/>
    <x v="5"/>
    <n v="51133"/>
  </r>
  <r>
    <x v="6"/>
    <x v="6"/>
    <s v="Ms."/>
    <s v="Amiya"/>
    <m/>
    <s v="Eichmann"/>
    <x v="6"/>
    <s v="Leo"/>
    <x v="0"/>
    <s v="US"/>
    <x v="0"/>
    <x v="0"/>
    <x v="6"/>
    <n v="61.1"/>
    <s v="Blue"/>
    <x v="2"/>
    <x v="1"/>
    <x v="6"/>
    <n v="65465"/>
  </r>
  <r>
    <x v="7"/>
    <x v="7"/>
    <s v="Mr."/>
    <s v="Pierce"/>
    <m/>
    <s v="Rau"/>
    <x v="7"/>
    <s v="Taurus"/>
    <x v="1"/>
    <s v="US"/>
    <x v="0"/>
    <x v="0"/>
    <x v="7"/>
    <n v="105.7"/>
    <s v="Amber"/>
    <x v="3"/>
    <x v="0"/>
    <x v="7"/>
    <n v="109885"/>
  </r>
  <r>
    <x v="8"/>
    <x v="8"/>
    <s v="Ms."/>
    <s v="Amelia"/>
    <m/>
    <s v="Stevens"/>
    <x v="8"/>
    <s v="Aquarius"/>
    <x v="0"/>
    <s v="GB"/>
    <x v="2"/>
    <x v="0"/>
    <x v="8"/>
    <n v="65.3"/>
    <s v="Blue"/>
    <x v="3"/>
    <x v="0"/>
    <x v="8"/>
    <n v="60061"/>
  </r>
  <r>
    <x v="9"/>
    <x v="9"/>
    <s v="Mr."/>
    <s v="Toby"/>
    <m/>
    <s v="Simpson"/>
    <x v="9"/>
    <s v="Sagittarius"/>
    <x v="1"/>
    <s v="GB"/>
    <x v="2"/>
    <x v="0"/>
    <x v="9"/>
    <n v="62.9"/>
    <s v="Amber"/>
    <x v="4"/>
    <x v="1"/>
    <x v="6"/>
    <n v="32758"/>
  </r>
  <r>
    <x v="10"/>
    <x v="10"/>
    <s v="Sir"/>
    <s v="Ethan"/>
    <m/>
    <s v="Murphy"/>
    <x v="10"/>
    <s v="Scorpio"/>
    <x v="1"/>
    <s v="GB"/>
    <x v="2"/>
    <x v="0"/>
    <x v="10"/>
    <n v="104.3"/>
    <s v="Brown"/>
    <x v="4"/>
    <x v="1"/>
    <x v="9"/>
    <n v="99613"/>
  </r>
  <r>
    <x v="11"/>
    <x v="11"/>
    <s v="Mrs."/>
    <s v="Ashley"/>
    <m/>
    <s v="Wood"/>
    <x v="11"/>
    <s v="Libra"/>
    <x v="0"/>
    <s v="GB"/>
    <x v="2"/>
    <x v="0"/>
    <x v="11"/>
    <n v="100.7"/>
    <s v="Brown"/>
    <x v="4"/>
    <x v="1"/>
    <x v="10"/>
    <n v="56595"/>
  </r>
  <r>
    <x v="12"/>
    <x v="12"/>
    <s v="Ms."/>
    <s v="Megan"/>
    <m/>
    <s v="Scott"/>
    <x v="12"/>
    <s v="Aquarius"/>
    <x v="0"/>
    <s v="GB"/>
    <x v="2"/>
    <x v="0"/>
    <x v="12"/>
    <n v="70.900000000000006"/>
    <s v="Green"/>
    <x v="0"/>
    <x v="1"/>
    <x v="11"/>
    <n v="117408"/>
  </r>
  <r>
    <x v="13"/>
    <x v="13"/>
    <s v="Hr."/>
    <s v="Helmut"/>
    <m/>
    <s v="Weinhae"/>
    <x v="13"/>
    <s v="Virgo"/>
    <x v="1"/>
    <s v="DE"/>
    <x v="3"/>
    <x v="2"/>
    <x v="13"/>
    <n v="68.3"/>
    <s v="Gray"/>
    <x v="3"/>
    <x v="1"/>
    <x v="12"/>
    <n v="64862"/>
  </r>
  <r>
    <x v="14"/>
    <x v="14"/>
    <s v="Prof."/>
    <s v="Milena"/>
    <m/>
    <s v="Schotin"/>
    <x v="14"/>
    <s v="Pisces"/>
    <x v="0"/>
    <s v="DE"/>
    <x v="3"/>
    <x v="2"/>
    <x v="14"/>
    <n v="105.3"/>
    <s v="Gray"/>
    <x v="4"/>
    <x v="0"/>
    <x v="13"/>
    <n v="10241"/>
  </r>
  <r>
    <x v="15"/>
    <x v="15"/>
    <s v="Hr."/>
    <s v="Lothar"/>
    <m/>
    <s v="Birnbaum"/>
    <x v="15"/>
    <s v="Cancer"/>
    <x v="1"/>
    <s v="DE"/>
    <x v="3"/>
    <x v="2"/>
    <x v="15"/>
    <n v="48.6"/>
    <s v="Blue"/>
    <x v="4"/>
    <x v="1"/>
    <x v="3"/>
    <n v="88762"/>
  </r>
  <r>
    <x v="16"/>
    <x v="16"/>
    <s v="Hr."/>
    <s v="Pietro"/>
    <m/>
    <s v="Stolze"/>
    <x v="16"/>
    <s v="Libra"/>
    <x v="1"/>
    <s v="DE"/>
    <x v="3"/>
    <x v="2"/>
    <x v="16"/>
    <n v="105.9"/>
    <s v="Blue"/>
    <x v="0"/>
    <x v="0"/>
    <x v="14"/>
    <n v="80757"/>
  </r>
  <r>
    <x v="17"/>
    <x v="17"/>
    <s v="Hr."/>
    <s v="Richard "/>
    <m/>
    <s v="Tlustek"/>
    <x v="17"/>
    <s v="Virgo"/>
    <x v="1"/>
    <s v="DE"/>
    <x v="3"/>
    <x v="2"/>
    <x v="17"/>
    <n v="71.099999999999994"/>
    <s v="Blue"/>
    <x v="0"/>
    <x v="1"/>
    <x v="15"/>
    <n v="88794"/>
  </r>
  <r>
    <x v="18"/>
    <x v="18"/>
    <s v="Dr."/>
    <s v="Earnestine"/>
    <m/>
    <s v="Raynor"/>
    <x v="18"/>
    <s v="Taurus"/>
    <x v="0"/>
    <s v="OZ"/>
    <x v="4"/>
    <x v="0"/>
    <x v="18"/>
    <n v="70.3"/>
    <s v="Blue"/>
    <x v="3"/>
    <x v="0"/>
    <x v="16"/>
    <n v="63526"/>
  </r>
  <r>
    <x v="19"/>
    <x v="19"/>
    <s v="Mr."/>
    <s v="Jason"/>
    <m/>
    <s v="Gaylord"/>
    <x v="19"/>
    <s v="Capricorn"/>
    <x v="1"/>
    <s v="OZ"/>
    <x v="4"/>
    <x v="0"/>
    <x v="19"/>
    <n v="54.7"/>
    <s v="Brown"/>
    <x v="1"/>
    <x v="0"/>
    <x v="17"/>
    <n v="46352"/>
  </r>
  <r>
    <x v="20"/>
    <x v="20"/>
    <s v="Mr."/>
    <s v="Kendrick"/>
    <m/>
    <s v="Sauer"/>
    <x v="20"/>
    <s v="Cancer"/>
    <x v="1"/>
    <s v="OZ"/>
    <x v="4"/>
    <x v="0"/>
    <x v="20"/>
    <n v="100.9"/>
    <s v="Blue"/>
    <x v="2"/>
    <x v="1"/>
    <x v="18"/>
    <n v="106808"/>
  </r>
  <r>
    <x v="21"/>
    <x v="21"/>
    <s v="Dr."/>
    <s v="Annabell"/>
    <m/>
    <s v="Olson"/>
    <x v="21"/>
    <s v="Aries"/>
    <x v="0"/>
    <s v="OZ"/>
    <x v="4"/>
    <x v="0"/>
    <x v="21"/>
    <n v="84.3"/>
    <s v="Green"/>
    <x v="3"/>
    <x v="1"/>
    <x v="19"/>
    <n v="96468"/>
  </r>
  <r>
    <x v="22"/>
    <x v="22"/>
    <s v="Dr."/>
    <s v="Jena"/>
    <m/>
    <s v="Upton"/>
    <x v="22"/>
    <s v="Sagittarius"/>
    <x v="0"/>
    <s v="OZ"/>
    <x v="4"/>
    <x v="0"/>
    <x v="22"/>
    <n v="66.8"/>
    <s v="Blue"/>
    <x v="4"/>
    <x v="1"/>
    <x v="20"/>
    <n v="16526"/>
  </r>
  <r>
    <x v="23"/>
    <x v="23"/>
    <s v="Dr."/>
    <s v="Shanny"/>
    <m/>
    <s v="Bins"/>
    <x v="23"/>
    <s v="Virgo"/>
    <x v="0"/>
    <s v="OZ"/>
    <x v="4"/>
    <x v="0"/>
    <x v="23"/>
    <n v="59.4"/>
    <s v="Amber"/>
    <x v="2"/>
    <x v="1"/>
    <x v="21"/>
    <n v="21891"/>
  </r>
  <r>
    <x v="24"/>
    <x v="24"/>
    <s v="Dr."/>
    <s v="Tia"/>
    <m/>
    <s v="Abshire"/>
    <x v="24"/>
    <s v="Cancer"/>
    <x v="0"/>
    <s v="OZ"/>
    <x v="4"/>
    <x v="0"/>
    <x v="24"/>
    <n v="77.8"/>
    <s v="Amber"/>
    <x v="3"/>
    <x v="1"/>
    <x v="6"/>
    <n v="62037"/>
  </r>
  <r>
    <x v="25"/>
    <x v="25"/>
    <s v="Ms."/>
    <s v="Isabel"/>
    <m/>
    <s v="Runolfsdottir"/>
    <x v="25"/>
    <s v="Aries"/>
    <x v="0"/>
    <s v="OZ"/>
    <x v="4"/>
    <x v="0"/>
    <x v="25"/>
    <n v="85.9"/>
    <s v="Blue"/>
    <x v="5"/>
    <x v="0"/>
    <x v="0"/>
    <n v="89737"/>
  </r>
  <r>
    <x v="26"/>
    <x v="26"/>
    <s v="Hr."/>
    <s v="Barney"/>
    <m/>
    <s v="Wesack"/>
    <x v="26"/>
    <s v="Cancer"/>
    <x v="1"/>
    <s v="AU"/>
    <x v="5"/>
    <x v="2"/>
    <x v="26"/>
    <n v="93.4"/>
    <s v="Amber"/>
    <x v="5"/>
    <x v="0"/>
    <x v="22"/>
    <n v="41039"/>
  </r>
  <r>
    <x v="27"/>
    <x v="27"/>
    <s v="Hr."/>
    <s v="Baruch"/>
    <m/>
    <s v="Kade"/>
    <x v="27"/>
    <s v="Pisces"/>
    <x v="1"/>
    <s v="AU"/>
    <x v="5"/>
    <x v="2"/>
    <x v="27"/>
    <n v="95.5"/>
    <s v="Gray"/>
    <x v="1"/>
    <x v="1"/>
    <x v="11"/>
    <n v="28458"/>
  </r>
  <r>
    <x v="28"/>
    <x v="28"/>
    <s v="Prof."/>
    <s v="Liesbeth"/>
    <m/>
    <s v="Rosemann"/>
    <x v="28"/>
    <s v="Aquarius"/>
    <x v="0"/>
    <s v="AU"/>
    <x v="5"/>
    <x v="2"/>
    <x v="28"/>
    <n v="52.2"/>
    <s v="Blue"/>
    <x v="4"/>
    <x v="1"/>
    <x v="6"/>
    <n v="55007"/>
  </r>
  <r>
    <x v="29"/>
    <x v="29"/>
    <s v="Mme."/>
    <s v="Valentine"/>
    <m/>
    <s v="Moreau"/>
    <x v="29"/>
    <s v="Libra"/>
    <x v="0"/>
    <s v="FR"/>
    <x v="6"/>
    <x v="3"/>
    <x v="29"/>
    <n v="74.599999999999994"/>
    <s v="Blue"/>
    <x v="5"/>
    <x v="1"/>
    <x v="23"/>
    <n v="69041"/>
  </r>
  <r>
    <x v="30"/>
    <x v="30"/>
    <s v="Mme."/>
    <s v="Paulette"/>
    <m/>
    <s v="Durand"/>
    <x v="30"/>
    <s v="Capricorn"/>
    <x v="0"/>
    <s v="FR"/>
    <x v="6"/>
    <x v="3"/>
    <x v="30"/>
    <n v="81.7"/>
    <s v="Amber"/>
    <x v="1"/>
    <x v="0"/>
    <x v="22"/>
    <n v="86262"/>
  </r>
  <r>
    <x v="31"/>
    <x v="31"/>
    <s v="Mme."/>
    <s v="Laure-Alix"/>
    <m/>
    <s v="Chevalier"/>
    <x v="31"/>
    <s v="Capricorn"/>
    <x v="0"/>
    <s v="FR"/>
    <x v="6"/>
    <x v="3"/>
    <x v="31"/>
    <n v="78.099999999999994"/>
    <s v="Blue"/>
    <x v="4"/>
    <x v="1"/>
    <x v="20"/>
    <n v="19234"/>
  </r>
  <r>
    <x v="32"/>
    <x v="32"/>
    <s v="M."/>
    <s v="Claude"/>
    <m/>
    <s v="Toussaint"/>
    <x v="32"/>
    <s v="Scorpio"/>
    <x v="1"/>
    <s v="FR"/>
    <x v="6"/>
    <x v="3"/>
    <x v="32"/>
    <n v="57.1"/>
    <s v="Green"/>
    <x v="4"/>
    <x v="0"/>
    <x v="24"/>
    <n v="95123"/>
  </r>
  <r>
    <x v="33"/>
    <x v="33"/>
    <s v="M."/>
    <s v="Victor"/>
    <m/>
    <s v="Lenoir"/>
    <x v="33"/>
    <s v="Libra"/>
    <x v="1"/>
    <s v="FR"/>
    <x v="6"/>
    <x v="3"/>
    <x v="33"/>
    <n v="56"/>
    <s v="Blue"/>
    <x v="5"/>
    <x v="1"/>
    <x v="18"/>
    <n v="62761"/>
  </r>
  <r>
    <x v="34"/>
    <x v="34"/>
    <s v="M."/>
    <s v="Arthur"/>
    <m/>
    <s v="Lenoir"/>
    <x v="34"/>
    <s v="Leo"/>
    <x v="1"/>
    <s v="FR"/>
    <x v="6"/>
    <x v="3"/>
    <x v="34"/>
    <n v="88.6"/>
    <s v="Amber"/>
    <x v="4"/>
    <x v="1"/>
    <x v="25"/>
    <n v="108431"/>
  </r>
  <r>
    <x v="35"/>
    <x v="35"/>
    <s v="M."/>
    <s v="Benjamin"/>
    <m/>
    <s v="Lebrun-Brun"/>
    <x v="35"/>
    <s v="Aquarius"/>
    <x v="1"/>
    <s v="FR"/>
    <x v="6"/>
    <x v="3"/>
    <x v="35"/>
    <n v="78.2"/>
    <s v="Brown"/>
    <x v="1"/>
    <x v="1"/>
    <x v="18"/>
    <n v="66268"/>
  </r>
  <r>
    <x v="36"/>
    <x v="36"/>
    <s v="M."/>
    <s v="Antoine"/>
    <m/>
    <s v="Maillard"/>
    <x v="36"/>
    <s v="Cancer"/>
    <x v="1"/>
    <s v="FR"/>
    <x v="6"/>
    <x v="3"/>
    <x v="36"/>
    <n v="95.8"/>
    <s v="Blue"/>
    <x v="2"/>
    <x v="1"/>
    <x v="26"/>
    <n v="33970"/>
  </r>
  <r>
    <x v="37"/>
    <x v="37"/>
    <s v="M."/>
    <s v="Bernard"/>
    <m/>
    <s v="Hoarau-Guyon"/>
    <x v="37"/>
    <s v="Capricorn"/>
    <x v="1"/>
    <s v="FR"/>
    <x v="6"/>
    <x v="3"/>
    <x v="37"/>
    <n v="59.7"/>
    <s v="Gray"/>
    <x v="1"/>
    <x v="0"/>
    <x v="0"/>
    <n v="71352"/>
  </r>
  <r>
    <x v="38"/>
    <x v="38"/>
    <s v="Sr."/>
    <s v="Hidalgo"/>
    <s v="Cantu"/>
    <s v="Tercero"/>
    <x v="38"/>
    <s v="Sagittarius"/>
    <x v="1"/>
    <s v="AG"/>
    <x v="7"/>
    <x v="4"/>
    <x v="38"/>
    <n v="77.7"/>
    <s v="Gray"/>
    <x v="2"/>
    <x v="1"/>
    <x v="21"/>
    <n v="116376"/>
  </r>
  <r>
    <x v="39"/>
    <x v="39"/>
    <s v="Sr."/>
    <s v="Hadalgo"/>
    <m/>
    <s v="Polanco"/>
    <x v="39"/>
    <s v="Gemini"/>
    <x v="1"/>
    <s v="AG"/>
    <x v="7"/>
    <x v="4"/>
    <x v="39"/>
    <n v="98"/>
    <s v="Blue"/>
    <x v="0"/>
    <x v="1"/>
    <x v="20"/>
    <n v="114144"/>
  </r>
  <r>
    <x v="40"/>
    <x v="40"/>
    <s v="Sra."/>
    <s v="Laura"/>
    <m/>
    <s v="Oliviera"/>
    <x v="40"/>
    <s v="Aquarius"/>
    <x v="0"/>
    <s v="AG"/>
    <x v="7"/>
    <x v="4"/>
    <x v="40"/>
    <n v="51.9"/>
    <s v="Amber"/>
    <x v="1"/>
    <x v="1"/>
    <x v="27"/>
    <n v="79872"/>
  </r>
  <r>
    <x v="41"/>
    <x v="41"/>
    <s v="Sra."/>
    <s v="Ainhoa"/>
    <m/>
    <s v="Garza"/>
    <x v="41"/>
    <s v="Pisces"/>
    <x v="0"/>
    <s v="ES"/>
    <x v="8"/>
    <x v="4"/>
    <x v="41"/>
    <n v="55.6"/>
    <s v="Brown"/>
    <x v="4"/>
    <x v="0"/>
    <x v="28"/>
    <n v="101969"/>
  </r>
  <r>
    <x v="42"/>
    <x v="42"/>
    <s v="Sra."/>
    <s v="Isabel"/>
    <m/>
    <s v="Banda"/>
    <x v="42"/>
    <s v="Capricorn"/>
    <x v="0"/>
    <s v="ES"/>
    <x v="8"/>
    <x v="4"/>
    <x v="42"/>
    <n v="102.3"/>
    <s v="Amber"/>
    <x v="4"/>
    <x v="1"/>
    <x v="21"/>
    <n v="50659"/>
  </r>
  <r>
    <x v="43"/>
    <x v="43"/>
    <s v="Sra."/>
    <s v="Carolota"/>
    <m/>
    <s v="Mateos"/>
    <x v="43"/>
    <s v="Leo"/>
    <x v="0"/>
    <s v="ES"/>
    <x v="8"/>
    <x v="4"/>
    <x v="43"/>
    <n v="58.8"/>
    <s v="Gray"/>
    <x v="1"/>
    <x v="1"/>
    <x v="27"/>
    <n v="58215"/>
  </r>
  <r>
    <x v="44"/>
    <x v="44"/>
    <s v="Mw."/>
    <s v="Elize"/>
    <m/>
    <s v="Prins"/>
    <x v="44"/>
    <s v="Taurus"/>
    <x v="0"/>
    <s v="DU"/>
    <x v="9"/>
    <x v="5"/>
    <x v="44"/>
    <n v="63.8"/>
    <s v="Blue"/>
    <x v="4"/>
    <x v="0"/>
    <x v="29"/>
    <n v="39935"/>
  </r>
  <r>
    <x v="45"/>
    <x v="45"/>
    <s v="dhr."/>
    <s v="Ryan"/>
    <m/>
    <s v="Pham"/>
    <x v="45"/>
    <s v="Libra"/>
    <x v="1"/>
    <s v="DU"/>
    <x v="9"/>
    <x v="5"/>
    <x v="45"/>
    <n v="98.6"/>
    <s v="Amber"/>
    <x v="5"/>
    <x v="1"/>
    <x v="20"/>
    <n v="44865"/>
  </r>
  <r>
    <x v="46"/>
    <x v="46"/>
    <s v="Mw"/>
    <s v="Elise"/>
    <m/>
    <s v="Rotteveel"/>
    <x v="46"/>
    <s v="Aries"/>
    <x v="0"/>
    <s v="DU"/>
    <x v="9"/>
    <x v="5"/>
    <x v="46"/>
    <n v="61.8"/>
    <s v="Gray"/>
    <x v="1"/>
    <x v="1"/>
    <x v="20"/>
    <n v="90478"/>
  </r>
  <r>
    <x v="47"/>
    <x v="47"/>
    <s v="Fru."/>
    <s v="Mirjam"/>
    <m/>
    <s v="Soderberg"/>
    <x v="47"/>
    <s v="Taurus"/>
    <x v="0"/>
    <s v="SV"/>
    <x v="10"/>
    <x v="6"/>
    <x v="47"/>
    <n v="50"/>
    <s v="Amber"/>
    <x v="4"/>
    <x v="1"/>
    <x v="2"/>
    <n v="38965"/>
  </r>
  <r>
    <x v="48"/>
    <x v="48"/>
    <s v="H."/>
    <s v="Berndt"/>
    <m/>
    <s v="Palsson"/>
    <x v="48"/>
    <s v="Pisces"/>
    <x v="1"/>
    <s v="SV"/>
    <x v="10"/>
    <x v="6"/>
    <x v="48"/>
    <n v="45.9"/>
    <s v="Blue"/>
    <x v="0"/>
    <x v="1"/>
    <x v="30"/>
    <n v="35387"/>
  </r>
  <r>
    <x v="49"/>
    <x v="49"/>
    <s v="Sr."/>
    <s v="Adriano"/>
    <s v="Pontes"/>
    <s v="Sobrinho"/>
    <x v="49"/>
    <s v="Leo"/>
    <x v="1"/>
    <s v="PR"/>
    <x v="1"/>
    <x v="1"/>
    <x v="49"/>
    <n v="92.5"/>
    <s v="Green"/>
    <x v="3"/>
    <x v="0"/>
    <x v="31"/>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03E32-DC89-490C-8B19-A733C5A02714}"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olHeaderCaption="">
  <location ref="B4:D16" firstHeaderRow="1" firstDataRow="2" firstDataCol="1"/>
  <pivotFields count="22">
    <pivotField dataField="1" numFmtId="164" showAll="0"/>
    <pivotField showAll="0"/>
    <pivotField showAll="0"/>
    <pivotField showAll="0"/>
    <pivotField showAll="0"/>
    <pivotField showAll="0"/>
    <pivotField numFmtId="165"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6" showAll="0"/>
    <pivotField showAll="0"/>
    <pivotField showAll="0"/>
    <pivotField showAll="0"/>
    <pivotField showAll="0"/>
    <pivotField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ount of MEMBER ID" fld="0" subtotal="count" baseField="10" baseItem="3"/>
  </dataFields>
  <formats count="8">
    <format dxfId="7">
      <pivotArea type="all" dataOnly="0" outline="0" fieldPosition="0"/>
    </format>
    <format dxfId="6">
      <pivotArea outline="0" collapsedLevelsAreSubtotals="1" fieldPosition="0"/>
    </format>
    <format dxfId="5">
      <pivotArea type="origin" dataOnly="0" labelOnly="1" outline="0" fieldPosition="0"/>
    </format>
    <format dxfId="4">
      <pivotArea field="8" type="button" dataOnly="0" labelOnly="1" outline="0" axis="axisCol" fieldPosition="0"/>
    </format>
    <format dxfId="3">
      <pivotArea type="topRight" dataOnly="0" labelOnly="1" outline="0" fieldPosition="0"/>
    </format>
    <format dxfId="2">
      <pivotArea field="10" type="button" dataOnly="0" labelOnly="1" outline="0" axis="axisRow" fieldPosition="0"/>
    </format>
    <format dxfId="1">
      <pivotArea dataOnly="0" labelOnly="1" fieldPosition="0">
        <references count="1">
          <reference field="10" count="0"/>
        </references>
      </pivotArea>
    </format>
    <format dxfId="0">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4026A6-A2D0-4095-A994-1E6A858A9C96}" name="PivotTable1"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H53" firstHeaderRow="1" firstDataRow="1" firstDataCol="8" rowPageCount="1" colPageCount="1"/>
  <pivotFields count="22">
    <pivotField axis="axisRow" compact="0" numFmtId="164" outline="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0">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x="2"/>
        <item x="41"/>
        <item x="43"/>
        <item x="42"/>
        <item x="40"/>
      </items>
    </pivotField>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50">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s>
    </pivotField>
    <pivotField compact="0" outline="0" showAll="0" defaultSubtotal="0"/>
    <pivotField axis="axisRow" compact="0" outline="0" showAll="0" defaultSubtotal="0">
      <items count="2">
        <item x="0"/>
        <item x="1"/>
      </items>
    </pivotField>
    <pivotField compact="0" outline="0" showAll="0" defaultSubtotal="0"/>
    <pivotField axis="axisRow" compact="0" outline="0" showAll="0" defaultSubtotal="0">
      <items count="11">
        <item x="7"/>
        <item x="4"/>
        <item x="5"/>
        <item x="1"/>
        <item x="6"/>
        <item x="3"/>
        <item x="9"/>
        <item x="8"/>
        <item x="10"/>
        <item x="2"/>
        <item x="0"/>
      </items>
    </pivotField>
    <pivotField axis="axisRow" compact="0" outline="0" showAll="0" defaultSubtotal="0">
      <items count="7">
        <item x="5"/>
        <item x="0"/>
        <item x="3"/>
        <item x="2"/>
        <item x="1"/>
        <item x="4"/>
        <item x="6"/>
      </items>
    </pivotField>
    <pivotField axis="axisRow" compact="0" outline="0" showAll="0" defaultSubtotal="0">
      <items count="50">
        <item x="0"/>
        <item x="24"/>
        <item x="42"/>
        <item x="23"/>
        <item x="15"/>
        <item x="4"/>
        <item x="31"/>
        <item x="3"/>
        <item x="30"/>
        <item x="6"/>
        <item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s>
    </pivotField>
    <pivotField compact="0" numFmtId="166" outline="0" showAll="0" defaultSubtotal="0"/>
    <pivotField compact="0" outline="0" showAll="0" defaultSubtotal="0"/>
    <pivotField compact="0" outline="0" showAll="0" defaultSubtotal="0">
      <items count="6">
        <item x="0"/>
        <item x="3"/>
        <item x="2"/>
        <item x="5"/>
        <item x="1"/>
        <item x="4"/>
      </items>
    </pivotField>
    <pivotField axis="axisPage" compact="0" outline="0" multipleItemSelectionAllowed="1" showAll="0" defaultSubtotal="0">
      <items count="2">
        <item x="0"/>
        <item x="1"/>
      </items>
    </pivotField>
    <pivotField axis="axisRow" compact="0" outline="0" showAll="0" defaultSubtotal="0">
      <items count="32">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s>
    </pivotField>
    <pivotField compact="0" numFmtId="167"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axis="axisRow" compact="0" outline="0" showAll="0" defaultSubtota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s>
  <rowFields count="8">
    <field x="0"/>
    <field x="17"/>
    <field x="11"/>
    <field x="10"/>
    <field x="21"/>
    <field x="8"/>
    <field x="12"/>
    <field x="1"/>
  </rowFields>
  <rowItems count="50">
    <i>
      <x/>
      <x v="13"/>
      <x v="1"/>
      <x v="10"/>
      <x v="43"/>
      <x/>
      <x/>
      <x v="32"/>
    </i>
    <i>
      <x v="1"/>
      <x v="6"/>
      <x v="1"/>
      <x v="10"/>
      <x v="38"/>
      <x/>
      <x v="18"/>
      <x v="33"/>
    </i>
    <i>
      <x v="2"/>
      <x v="17"/>
      <x v="4"/>
      <x v="3"/>
      <x v="15"/>
      <x v="1"/>
      <x v="10"/>
      <x v="45"/>
    </i>
    <i>
      <x v="3"/>
      <x/>
      <x v="1"/>
      <x v="10"/>
      <x v="21"/>
      <x/>
      <x v="7"/>
      <x v="34"/>
    </i>
    <i>
      <x v="4"/>
      <x v="31"/>
      <x v="1"/>
      <x v="10"/>
      <x v="16"/>
      <x v="1"/>
      <x v="5"/>
      <x v="3"/>
    </i>
    <i>
      <x v="5"/>
      <x v="16"/>
      <x v="1"/>
      <x v="10"/>
      <x v="38"/>
      <x v="1"/>
      <x v="19"/>
      <x v="26"/>
    </i>
    <i>
      <x v="6"/>
      <x v="12"/>
      <x v="1"/>
      <x v="10"/>
      <x v="45"/>
      <x/>
      <x v="9"/>
      <x v="31"/>
    </i>
    <i>
      <x v="7"/>
      <x v="9"/>
      <x v="1"/>
      <x v="10"/>
      <x v="9"/>
      <x v="1"/>
      <x v="30"/>
      <x v="27"/>
    </i>
    <i>
      <x v="8"/>
      <x v="26"/>
      <x v="1"/>
      <x v="9"/>
      <x v="17"/>
      <x/>
      <x v="41"/>
      <x v="30"/>
    </i>
    <i>
      <x v="9"/>
      <x v="12"/>
      <x v="1"/>
      <x v="9"/>
      <x v="10"/>
      <x v="1"/>
      <x v="38"/>
      <x v="28"/>
    </i>
    <i>
      <x v="10"/>
      <x v="18"/>
      <x v="1"/>
      <x v="9"/>
      <x v="32"/>
      <x v="1"/>
      <x v="23"/>
      <x v="41"/>
    </i>
    <i>
      <x v="11"/>
      <x v="1"/>
      <x v="1"/>
      <x v="9"/>
      <x v="23"/>
      <x/>
      <x v="49"/>
      <x v="29"/>
    </i>
    <i>
      <x v="12"/>
      <x v="24"/>
      <x v="1"/>
      <x v="9"/>
      <x v="23"/>
      <x/>
      <x v="37"/>
      <x v="36"/>
    </i>
    <i>
      <x v="13"/>
      <x v="8"/>
      <x v="3"/>
      <x v="5"/>
      <x v="5"/>
      <x v="1"/>
      <x v="47"/>
      <x v="11"/>
    </i>
    <i>
      <x v="14"/>
      <x v="10"/>
      <x v="3"/>
      <x v="5"/>
      <x v="11"/>
      <x/>
      <x v="36"/>
      <x v="40"/>
    </i>
    <i>
      <x v="15"/>
      <x/>
      <x v="3"/>
      <x v="5"/>
      <x v="15"/>
      <x v="1"/>
      <x v="4"/>
      <x v="12"/>
    </i>
    <i>
      <x v="16"/>
      <x v="21"/>
      <x v="3"/>
      <x v="5"/>
      <x v="18"/>
      <x v="1"/>
      <x v="42"/>
      <x v="13"/>
    </i>
    <i>
      <x v="17"/>
      <x v="11"/>
      <x v="3"/>
      <x v="5"/>
      <x v="5"/>
      <x v="1"/>
      <x v="44"/>
      <x v="14"/>
    </i>
    <i>
      <x v="18"/>
      <x v="27"/>
      <x v="1"/>
      <x v="1"/>
      <x v="23"/>
      <x/>
      <x v="31"/>
      <x v="2"/>
    </i>
    <i>
      <x v="19"/>
      <x v="3"/>
      <x v="1"/>
      <x v="1"/>
      <x v="22"/>
      <x v="1"/>
      <x v="12"/>
      <x v="24"/>
    </i>
    <i>
      <x v="20"/>
      <x v="29"/>
      <x v="1"/>
      <x v="1"/>
      <x v="42"/>
      <x v="1"/>
      <x v="35"/>
      <x v="25"/>
    </i>
    <i>
      <x v="21"/>
      <x v="15"/>
      <x v="1"/>
      <x v="1"/>
      <x v="10"/>
      <x/>
      <x v="25"/>
      <x v="1"/>
    </i>
    <i>
      <x v="22"/>
      <x v="4"/>
      <x v="1"/>
      <x v="1"/>
      <x v="1"/>
      <x/>
      <x v="46"/>
      <x v="4"/>
    </i>
    <i>
      <x v="23"/>
      <x v="7"/>
      <x v="1"/>
      <x v="1"/>
      <x v="45"/>
      <x/>
      <x v="3"/>
      <x v="5"/>
    </i>
    <i>
      <x v="24"/>
      <x v="12"/>
      <x v="1"/>
      <x v="1"/>
      <x v="12"/>
      <x/>
      <x v="1"/>
      <x v="6"/>
    </i>
    <i>
      <x v="25"/>
      <x v="13"/>
      <x v="1"/>
      <x v="1"/>
      <x v="24"/>
      <x/>
      <x v="34"/>
      <x v="35"/>
    </i>
    <i>
      <x v="26"/>
      <x v="30"/>
      <x v="3"/>
      <x v="2"/>
      <x v="16"/>
      <x v="1"/>
      <x v="48"/>
      <x v="9"/>
    </i>
    <i>
      <x v="27"/>
      <x v="24"/>
      <x v="3"/>
      <x v="2"/>
      <x v="28"/>
      <x v="1"/>
      <x v="14"/>
      <x v="10"/>
    </i>
    <i>
      <x v="28"/>
      <x v="12"/>
      <x v="3"/>
      <x v="2"/>
      <x v="40"/>
      <x/>
      <x v="32"/>
      <x v="39"/>
    </i>
    <i>
      <x v="29"/>
      <x v="19"/>
      <x v="2"/>
      <x v="4"/>
      <x v="25"/>
      <x/>
      <x v="22"/>
      <x v="23"/>
    </i>
    <i>
      <x v="30"/>
      <x v="30"/>
      <x v="2"/>
      <x v="4"/>
      <x v="35"/>
      <x/>
      <x v="8"/>
      <x v="22"/>
    </i>
    <i>
      <x v="31"/>
      <x v="4"/>
      <x v="2"/>
      <x v="4"/>
      <x v="16"/>
      <x/>
      <x v="6"/>
      <x v="21"/>
    </i>
    <i>
      <x v="32"/>
      <x v="14"/>
      <x v="2"/>
      <x v="4"/>
      <x v="26"/>
      <x v="1"/>
      <x v="45"/>
      <x v="19"/>
    </i>
    <i>
      <x v="33"/>
      <x v="29"/>
      <x v="2"/>
      <x v="4"/>
      <x v="27"/>
      <x v="1"/>
      <x v="17"/>
      <x v="20"/>
    </i>
    <i>
      <x v="34"/>
      <x v="22"/>
      <x v="2"/>
      <x v="4"/>
      <x v="1"/>
      <x v="1"/>
      <x v="16"/>
      <x v="16"/>
    </i>
    <i>
      <x v="35"/>
      <x v="29"/>
      <x v="2"/>
      <x v="4"/>
      <x v="21"/>
      <x v="1"/>
      <x v="15"/>
      <x v="17"/>
    </i>
    <i>
      <x v="36"/>
      <x v="25"/>
      <x v="2"/>
      <x v="4"/>
      <x v="32"/>
      <x v="1"/>
      <x v="20"/>
      <x v="15"/>
    </i>
    <i>
      <x v="37"/>
      <x v="13"/>
      <x v="2"/>
      <x v="4"/>
      <x v="29"/>
      <x v="1"/>
      <x v="13"/>
      <x v="18"/>
    </i>
    <i>
      <x v="38"/>
      <x v="7"/>
      <x v="5"/>
      <x/>
      <x v="30"/>
      <x v="1"/>
      <x v="43"/>
      <x v="44"/>
    </i>
    <i>
      <x v="39"/>
      <x v="4"/>
      <x v="5"/>
      <x/>
      <x v="34"/>
      <x v="1"/>
      <x v="28"/>
      <x v="43"/>
    </i>
    <i>
      <x v="40"/>
      <x v="2"/>
      <x v="5"/>
      <x/>
      <x v="20"/>
      <x/>
      <x v="24"/>
      <x v="49"/>
    </i>
    <i>
      <x v="41"/>
      <x v="20"/>
      <x v="5"/>
      <x v="7"/>
      <x v="36"/>
      <x/>
      <x v="11"/>
      <x v="46"/>
    </i>
    <i>
      <x v="42"/>
      <x v="7"/>
      <x v="5"/>
      <x v="7"/>
      <x v="6"/>
      <x/>
      <x v="2"/>
      <x v="48"/>
    </i>
    <i>
      <x v="43"/>
      <x v="2"/>
      <x v="5"/>
      <x v="7"/>
      <x v="11"/>
      <x/>
      <x v="21"/>
      <x v="47"/>
    </i>
    <i>
      <x v="44"/>
      <x v="23"/>
      <x/>
      <x v="6"/>
      <x v="6"/>
      <x/>
      <x v="29"/>
      <x v="38"/>
    </i>
    <i>
      <x v="45"/>
      <x v="4"/>
      <x/>
      <x v="6"/>
      <x v="19"/>
      <x v="1"/>
      <x v="27"/>
      <x/>
    </i>
    <i>
      <x v="46"/>
      <x v="4"/>
      <x/>
      <x v="6"/>
      <x v="14"/>
      <x/>
      <x v="33"/>
      <x v="37"/>
    </i>
    <i>
      <x v="47"/>
      <x v="17"/>
      <x v="6"/>
      <x v="8"/>
      <x v="43"/>
      <x/>
      <x v="40"/>
      <x v="7"/>
    </i>
    <i>
      <x v="48"/>
      <x v="5"/>
      <x v="6"/>
      <x v="8"/>
      <x v="33"/>
      <x v="1"/>
      <x v="26"/>
      <x v="8"/>
    </i>
    <i>
      <x v="49"/>
      <x v="28"/>
      <x v="4"/>
      <x v="3"/>
      <x v="39"/>
      <x v="1"/>
      <x v="39"/>
      <x v="42"/>
    </i>
  </rowItems>
  <colItems count="1">
    <i/>
  </colItems>
  <pageFields count="1">
    <pageField fld="16" hier="-1"/>
  </pageField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TYPE" xr10:uid="{B141395B-FE15-4768-80C9-E7B41B978D60}" sourceName="BLOODTYPE">
  <pivotTables>
    <pivotTable tabId="11" name="PivotTable1"/>
  </pivotTables>
  <data>
    <tabular pivotCacheId="1258232219">
      <items count="6">
        <i x="0" s="1"/>
        <i x="3" s="1"/>
        <i x="2"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RTS" xr10:uid="{99886166-D3AC-4279-998E-0B07AA147436}" sourceName="SPORTS">
  <pivotTables>
    <pivotTable tabId="11" name="PivotTable1"/>
  </pivotTables>
  <data>
    <tabular pivotCacheId="1258232219">
      <items count="32">
        <i x="3" s="1"/>
        <i x="10" s="1"/>
        <i x="27" s="1"/>
        <i x="17" s="1"/>
        <i x="20" s="1"/>
        <i x="30" s="1"/>
        <i x="1" s="1"/>
        <i x="21" s="1"/>
        <i x="12" s="1"/>
        <i x="7" s="1"/>
        <i x="13" s="1"/>
        <i x="15" s="1"/>
        <i x="6" s="1"/>
        <i x="0" s="1"/>
        <i x="24" s="1"/>
        <i x="19" s="1"/>
        <i x="5" s="1"/>
        <i x="2" s="1"/>
        <i x="9" s="1"/>
        <i x="23" s="1"/>
        <i x="28" s="1"/>
        <i x="14" s="1"/>
        <i x="25" s="1"/>
        <i x="29" s="1"/>
        <i x="11" s="1"/>
        <i x="26" s="1"/>
        <i x="8" s="1"/>
        <i x="16" s="1"/>
        <i x="31" s="1"/>
        <i x="18" s="1"/>
        <i x="2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BIRTHDATE" xr10:uid="{76023472-9F69-41C7-9C08-97D9174E22A9}" sourceName="Years (BIRTHDATE)">
  <pivotTables>
    <pivotTable tabId="11" name="PivotTable1"/>
  </pivotTables>
  <data>
    <tabular pivotCacheId="1258232219">
      <items count="47">
        <i x="1" s="1"/>
        <i x="5" s="1"/>
        <i x="6" s="1"/>
        <i x="9" s="1"/>
        <i x="10" s="1"/>
        <i x="11" s="1"/>
        <i x="12" s="1"/>
        <i x="14" s="1"/>
        <i x="15" s="1"/>
        <i x="16" s="1"/>
        <i x="17" s="1"/>
        <i x="18" s="1"/>
        <i x="19" s="1"/>
        <i x="20" s="1"/>
        <i x="21" s="1"/>
        <i x="22" s="1"/>
        <i x="23" s="1"/>
        <i x="24" s="1"/>
        <i x="25" s="1"/>
        <i x="26" s="1"/>
        <i x="27" s="1"/>
        <i x="28" s="1"/>
        <i x="29" s="1"/>
        <i x="30" s="1"/>
        <i x="32" s="1"/>
        <i x="33" s="1"/>
        <i x="34" s="1"/>
        <i x="35" s="1"/>
        <i x="36" s="1"/>
        <i x="38" s="1"/>
        <i x="39" s="1"/>
        <i x="40" s="1"/>
        <i x="42" s="1"/>
        <i x="43" s="1"/>
        <i x="45" s="1"/>
        <i x="0" s="1" nd="1"/>
        <i x="46" s="1" nd="1"/>
        <i x="2" s="1" nd="1"/>
        <i x="3" s="1" nd="1"/>
        <i x="4" s="1" nd="1"/>
        <i x="7" s="1" nd="1"/>
        <i x="8" s="1" nd="1"/>
        <i x="13" s="1" nd="1"/>
        <i x="31" s="1" nd="1"/>
        <i x="37" s="1" nd="1"/>
        <i x="41" s="1" nd="1"/>
        <i x="4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16031147-84DF-40A3-B75B-9CAA23B71FA2}" sourceName="LANGUAGE">
  <pivotTables>
    <pivotTable tabId="11" name="PivotTable1"/>
  </pivotTables>
  <data>
    <tabular pivotCacheId="1258232219">
      <items count="7">
        <i x="5" s="1"/>
        <i x="0" s="1"/>
        <i x="3" s="1"/>
        <i x="2" s="1"/>
        <i x="1"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TYPE" xr10:uid="{11FB3828-0929-4C57-8C32-05127AC439D0}" cache="Slicer_BLOODTYPE" caption="BLOODTYPE" style="SlicerStyleLight6" rowHeight="241300"/>
  <slicer name="SPORTS" xr10:uid="{6A6AC2ED-F264-4DE8-869B-69B1E479EC0B}" cache="Slicer_SPORTS" caption="SPORTS" startItem="11" style="SlicerStyleLight6" rowHeight="241300"/>
  <slicer name="Years (BIRTHDATE)" xr10:uid="{D6B4D235-6EEE-43EE-BA1E-4B897B2C2CDE}" cache="Slicer_Years__BIRTHDATE" caption="Years (BIRTHDATE)" startItem="21" style="SlicerStyleLight6" rowHeight="241300"/>
  <slicer name="LANGUAGE" xr10:uid="{00DA4E15-DD02-4547-A294-574A73F0824D}" cache="Slicer_LANGUAGE" caption="LANGUAGE"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workbookViewId="0"/>
  </sheetViews>
  <sheetFormatPr defaultRowHeight="14.5" x14ac:dyDescent="0.35"/>
  <cols>
    <col min="1" max="1" width="1" customWidth="1"/>
    <col min="2" max="2" width="5.54296875" bestFit="1" customWidth="1"/>
    <col min="3" max="3" width="13.453125" bestFit="1" customWidth="1"/>
    <col min="4" max="4" width="14.453125" customWidth="1"/>
    <col min="5" max="5" width="145.1796875" bestFit="1" customWidth="1"/>
  </cols>
  <sheetData>
    <row r="1" spans="2:5" ht="5.25" customHeight="1" thickBot="1" x14ac:dyDescent="0.4"/>
    <row r="2" spans="2:5" ht="16.5" customHeight="1" x14ac:dyDescent="0.35">
      <c r="B2" s="47" t="s">
        <v>252</v>
      </c>
      <c r="C2" s="48"/>
      <c r="D2" s="49"/>
      <c r="E2" s="53" t="s">
        <v>232</v>
      </c>
    </row>
    <row r="3" spans="2:5" ht="42" customHeight="1" thickBot="1" x14ac:dyDescent="0.4">
      <c r="B3" s="50"/>
      <c r="C3" s="51"/>
      <c r="D3" s="52"/>
      <c r="E3" s="54"/>
    </row>
    <row r="4" spans="2:5" ht="8.25" customHeight="1" x14ac:dyDescent="0.35"/>
    <row r="5" spans="2:5" ht="19.5" customHeight="1" thickBot="1" x14ac:dyDescent="0.4">
      <c r="C5" s="7" t="s">
        <v>226</v>
      </c>
      <c r="D5" s="7" t="s">
        <v>223</v>
      </c>
      <c r="E5" s="8" t="s">
        <v>224</v>
      </c>
    </row>
    <row r="6" spans="2:5" ht="19.5" customHeight="1" thickBot="1" x14ac:dyDescent="0.4">
      <c r="B6" s="18" t="s">
        <v>135</v>
      </c>
      <c r="C6" s="45" t="s">
        <v>225</v>
      </c>
      <c r="D6" s="45"/>
      <c r="E6" s="46"/>
    </row>
    <row r="7" spans="2:5" x14ac:dyDescent="0.35">
      <c r="B7" s="17">
        <v>1</v>
      </c>
      <c r="C7" s="9" t="s">
        <v>234</v>
      </c>
      <c r="D7" s="10" t="s">
        <v>229</v>
      </c>
      <c r="E7" s="11" t="s">
        <v>220</v>
      </c>
    </row>
    <row r="8" spans="2:5" x14ac:dyDescent="0.35">
      <c r="B8" s="10">
        <v>2</v>
      </c>
      <c r="C8" s="9" t="s">
        <v>234</v>
      </c>
      <c r="D8" s="10" t="s">
        <v>230</v>
      </c>
      <c r="E8" s="11" t="s">
        <v>235</v>
      </c>
    </row>
    <row r="9" spans="2:5" x14ac:dyDescent="0.35">
      <c r="B9" s="10">
        <v>3</v>
      </c>
      <c r="C9" s="9" t="s">
        <v>234</v>
      </c>
      <c r="D9" s="10" t="s">
        <v>231</v>
      </c>
      <c r="E9" s="11" t="s">
        <v>236</v>
      </c>
    </row>
    <row r="10" spans="2:5" ht="26" x14ac:dyDescent="0.35">
      <c r="B10" s="10">
        <v>4</v>
      </c>
      <c r="C10" s="9" t="s">
        <v>234</v>
      </c>
      <c r="D10" s="10" t="s">
        <v>237</v>
      </c>
      <c r="E10" s="26" t="s">
        <v>282</v>
      </c>
    </row>
    <row r="11" spans="2:5" ht="15" thickBot="1" x14ac:dyDescent="0.4">
      <c r="B11" s="13">
        <v>5</v>
      </c>
      <c r="C11" s="12" t="s">
        <v>234</v>
      </c>
      <c r="D11" s="13" t="s">
        <v>240</v>
      </c>
      <c r="E11" s="14" t="s">
        <v>241</v>
      </c>
    </row>
    <row r="12" spans="2:5" ht="15.5" thickTop="1" thickBot="1" x14ac:dyDescent="0.4"/>
    <row r="13" spans="2:5" ht="19.5" customHeight="1" thickBot="1" x14ac:dyDescent="0.4">
      <c r="B13" s="18" t="s">
        <v>135</v>
      </c>
      <c r="C13" s="45" t="s">
        <v>242</v>
      </c>
      <c r="D13" s="45"/>
      <c r="E13" s="46"/>
    </row>
    <row r="14" spans="2:5" x14ac:dyDescent="0.35">
      <c r="B14" s="17">
        <v>1</v>
      </c>
      <c r="C14" s="10" t="s">
        <v>234</v>
      </c>
      <c r="D14" s="10" t="s">
        <v>243</v>
      </c>
      <c r="E14" s="15" t="s">
        <v>244</v>
      </c>
    </row>
    <row r="15" spans="2:5" x14ac:dyDescent="0.35">
      <c r="B15" s="10">
        <v>2</v>
      </c>
      <c r="C15" s="10" t="s">
        <v>234</v>
      </c>
      <c r="D15" s="10" t="s">
        <v>245</v>
      </c>
      <c r="E15" s="15" t="s">
        <v>249</v>
      </c>
    </row>
    <row r="16" spans="2:5" x14ac:dyDescent="0.35">
      <c r="B16" s="10">
        <v>3</v>
      </c>
      <c r="C16" s="10" t="s">
        <v>234</v>
      </c>
      <c r="D16" s="10" t="s">
        <v>247</v>
      </c>
      <c r="E16" s="15" t="s">
        <v>248</v>
      </c>
    </row>
    <row r="17" spans="2:5" ht="52.5" thickBot="1" x14ac:dyDescent="0.4">
      <c r="B17" s="13">
        <v>4</v>
      </c>
      <c r="C17" s="13" t="s">
        <v>234</v>
      </c>
      <c r="D17" s="13" t="s">
        <v>250</v>
      </c>
      <c r="E17" s="16" t="s">
        <v>251</v>
      </c>
    </row>
    <row r="18" spans="2:5" ht="15" thickTop="1" x14ac:dyDescent="0.35"/>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topLeftCell="A4" zoomScaleNormal="100" workbookViewId="0"/>
  </sheetViews>
  <sheetFormatPr defaultRowHeight="14.5" x14ac:dyDescent="0.35"/>
  <cols>
    <col min="1" max="1" width="1" customWidth="1"/>
    <col min="2" max="2" width="5.54296875" bestFit="1" customWidth="1"/>
    <col min="3" max="3" width="13.453125" bestFit="1" customWidth="1"/>
    <col min="4" max="4" width="14.453125" customWidth="1"/>
    <col min="5" max="5" width="145.1796875" bestFit="1" customWidth="1"/>
  </cols>
  <sheetData>
    <row r="1" spans="2:5" ht="5.25" customHeight="1" thickBot="1" x14ac:dyDescent="0.4"/>
    <row r="2" spans="2:5" ht="16.5" customHeight="1" x14ac:dyDescent="0.35">
      <c r="B2" s="47" t="s">
        <v>253</v>
      </c>
      <c r="C2" s="48"/>
      <c r="D2" s="49"/>
      <c r="E2" s="53" t="s">
        <v>232</v>
      </c>
    </row>
    <row r="3" spans="2:5" ht="42" customHeight="1" thickBot="1" x14ac:dyDescent="0.4">
      <c r="B3" s="50"/>
      <c r="C3" s="51"/>
      <c r="D3" s="52"/>
      <c r="E3" s="54"/>
    </row>
    <row r="4" spans="2:5" ht="8.25" customHeight="1" x14ac:dyDescent="0.35"/>
    <row r="5" spans="2:5" ht="27" customHeight="1" x14ac:dyDescent="0.35">
      <c r="B5" s="21" t="s">
        <v>260</v>
      </c>
      <c r="C5" s="20"/>
      <c r="D5" s="19"/>
      <c r="E5" s="19"/>
    </row>
    <row r="6" spans="2:5" ht="19.5" customHeight="1" thickBot="1" x14ac:dyDescent="0.4">
      <c r="C6" s="7" t="s">
        <v>226</v>
      </c>
      <c r="D6" s="7" t="s">
        <v>257</v>
      </c>
      <c r="E6" s="8" t="s">
        <v>224</v>
      </c>
    </row>
    <row r="7" spans="2:5" ht="19.5" customHeight="1" thickBot="1" x14ac:dyDescent="0.4">
      <c r="B7" s="18" t="s">
        <v>135</v>
      </c>
      <c r="C7" s="45" t="s">
        <v>254</v>
      </c>
      <c r="D7" s="45"/>
      <c r="E7" s="46"/>
    </row>
    <row r="8" spans="2:5" x14ac:dyDescent="0.35">
      <c r="B8" s="17">
        <v>1</v>
      </c>
      <c r="C8" s="9" t="s">
        <v>256</v>
      </c>
      <c r="D8" s="10" t="s">
        <v>258</v>
      </c>
      <c r="E8" s="15" t="s">
        <v>259</v>
      </c>
    </row>
    <row r="9" spans="2:5" x14ac:dyDescent="0.35">
      <c r="B9" s="10">
        <v>2</v>
      </c>
      <c r="C9" s="9" t="s">
        <v>256</v>
      </c>
      <c r="D9" s="10"/>
      <c r="E9" s="15" t="s">
        <v>261</v>
      </c>
    </row>
    <row r="10" spans="2:5" x14ac:dyDescent="0.35">
      <c r="B10" s="10">
        <v>3</v>
      </c>
      <c r="C10" s="9" t="s">
        <v>256</v>
      </c>
      <c r="D10" s="10"/>
      <c r="E10" s="15" t="s">
        <v>262</v>
      </c>
    </row>
    <row r="11" spans="2:5" x14ac:dyDescent="0.35">
      <c r="B11" s="10">
        <v>4</v>
      </c>
      <c r="C11" s="9" t="s">
        <v>256</v>
      </c>
      <c r="D11" s="10"/>
      <c r="E11" s="15" t="s">
        <v>263</v>
      </c>
    </row>
    <row r="12" spans="2:5" ht="15" thickBot="1" x14ac:dyDescent="0.4">
      <c r="B12" s="13">
        <v>5</v>
      </c>
      <c r="C12" s="12" t="s">
        <v>256</v>
      </c>
      <c r="D12" s="13"/>
      <c r="E12" s="16" t="s">
        <v>264</v>
      </c>
    </row>
    <row r="13" spans="2:5" ht="15.5" thickTop="1" thickBot="1" x14ac:dyDescent="0.4"/>
    <row r="14" spans="2:5" ht="19.5" customHeight="1" thickBot="1" x14ac:dyDescent="0.4">
      <c r="B14" s="18" t="s">
        <v>135</v>
      </c>
      <c r="C14" s="45" t="s">
        <v>255</v>
      </c>
      <c r="D14" s="45"/>
      <c r="E14" s="46"/>
    </row>
    <row r="15" spans="2:5" x14ac:dyDescent="0.35">
      <c r="B15" s="17">
        <v>1</v>
      </c>
      <c r="C15" s="9" t="s">
        <v>256</v>
      </c>
      <c r="D15" s="10" t="s">
        <v>265</v>
      </c>
      <c r="E15" s="15" t="s">
        <v>273</v>
      </c>
    </row>
    <row r="16" spans="2:5" x14ac:dyDescent="0.35">
      <c r="B16" s="10">
        <v>2</v>
      </c>
      <c r="C16" s="9" t="s">
        <v>256</v>
      </c>
      <c r="D16" s="10" t="s">
        <v>266</v>
      </c>
      <c r="E16" s="15" t="s">
        <v>268</v>
      </c>
    </row>
    <row r="17" spans="2:5" x14ac:dyDescent="0.35">
      <c r="B17" s="10">
        <v>3</v>
      </c>
      <c r="C17" s="9" t="s">
        <v>256</v>
      </c>
      <c r="D17" s="10" t="s">
        <v>267</v>
      </c>
      <c r="E17" s="15" t="s">
        <v>269</v>
      </c>
    </row>
    <row r="18" spans="2:5" ht="15" thickBot="1" x14ac:dyDescent="0.4">
      <c r="B18" s="13">
        <v>4</v>
      </c>
      <c r="C18" s="12" t="s">
        <v>256</v>
      </c>
      <c r="D18" s="13" t="s">
        <v>271</v>
      </c>
      <c r="E18" s="16" t="s">
        <v>270</v>
      </c>
    </row>
    <row r="19" spans="2:5" ht="15" thickTop="1" x14ac:dyDescent="0.35"/>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topLeftCell="C1" zoomScaleNormal="100" workbookViewId="0"/>
  </sheetViews>
  <sheetFormatPr defaultRowHeight="14.5" x14ac:dyDescent="0.35"/>
  <cols>
    <col min="1" max="1" width="1" customWidth="1"/>
    <col min="2" max="2" width="5.54296875" bestFit="1" customWidth="1"/>
    <col min="3" max="3" width="13.453125" bestFit="1" customWidth="1"/>
    <col min="4" max="4" width="14.453125" customWidth="1"/>
    <col min="5" max="5" width="145.1796875" bestFit="1" customWidth="1"/>
  </cols>
  <sheetData>
    <row r="1" spans="2:5" ht="5.25" customHeight="1" thickBot="1" x14ac:dyDescent="0.4"/>
    <row r="2" spans="2:5" ht="16.5" customHeight="1" x14ac:dyDescent="0.35">
      <c r="B2" s="47" t="s">
        <v>272</v>
      </c>
      <c r="C2" s="48"/>
      <c r="D2" s="49"/>
      <c r="E2" s="53" t="s">
        <v>232</v>
      </c>
    </row>
    <row r="3" spans="2:5" ht="42" customHeight="1" thickBot="1" x14ac:dyDescent="0.4">
      <c r="B3" s="50"/>
      <c r="C3" s="51"/>
      <c r="D3" s="52"/>
      <c r="E3" s="54"/>
    </row>
    <row r="4" spans="2:5" ht="8.25" customHeight="1" x14ac:dyDescent="0.35"/>
    <row r="5" spans="2:5" ht="27" customHeight="1" x14ac:dyDescent="0.35">
      <c r="B5" s="21" t="s">
        <v>260</v>
      </c>
      <c r="C5" s="20"/>
      <c r="D5" s="19"/>
      <c r="E5" s="19"/>
    </row>
    <row r="6" spans="2:5" ht="19.5" customHeight="1" thickBot="1" x14ac:dyDescent="0.4">
      <c r="C6" s="7" t="s">
        <v>226</v>
      </c>
      <c r="D6" s="7" t="s">
        <v>257</v>
      </c>
      <c r="E6" s="8" t="s">
        <v>224</v>
      </c>
    </row>
    <row r="7" spans="2:5" ht="19.5" customHeight="1" thickBot="1" x14ac:dyDescent="0.4">
      <c r="B7" s="18" t="s">
        <v>135</v>
      </c>
      <c r="C7" s="45" t="s">
        <v>281</v>
      </c>
      <c r="D7" s="45"/>
      <c r="E7" s="46"/>
    </row>
    <row r="8" spans="2:5" x14ac:dyDescent="0.35">
      <c r="B8" s="17">
        <v>1</v>
      </c>
      <c r="C8" s="9" t="s">
        <v>227</v>
      </c>
      <c r="D8" s="10" t="s">
        <v>274</v>
      </c>
      <c r="E8" s="15" t="s">
        <v>275</v>
      </c>
    </row>
    <row r="9" spans="2:5" ht="15" customHeight="1" x14ac:dyDescent="0.35">
      <c r="B9" s="10">
        <v>2</v>
      </c>
      <c r="C9" s="9" t="s">
        <v>227</v>
      </c>
      <c r="D9" s="10"/>
      <c r="E9" s="22" t="s">
        <v>279</v>
      </c>
    </row>
    <row r="10" spans="2:5" x14ac:dyDescent="0.35">
      <c r="B10" s="10">
        <v>3</v>
      </c>
      <c r="C10" s="9" t="s">
        <v>227</v>
      </c>
      <c r="D10" s="10"/>
      <c r="E10" s="15" t="s">
        <v>276</v>
      </c>
    </row>
    <row r="11" spans="2:5" x14ac:dyDescent="0.35">
      <c r="B11" s="10">
        <v>4</v>
      </c>
      <c r="C11" s="9" t="s">
        <v>227</v>
      </c>
      <c r="D11" s="10"/>
      <c r="E11" s="15" t="s">
        <v>277</v>
      </c>
    </row>
    <row r="12" spans="2:5" x14ac:dyDescent="0.35">
      <c r="B12" s="23">
        <v>5</v>
      </c>
      <c r="C12" s="24" t="s">
        <v>227</v>
      </c>
      <c r="D12" s="23"/>
      <c r="E12" s="25" t="s">
        <v>264</v>
      </c>
    </row>
    <row r="13" spans="2:5" ht="15" thickBot="1" x14ac:dyDescent="0.4">
      <c r="B13" s="13">
        <v>5</v>
      </c>
      <c r="C13" s="12" t="s">
        <v>227</v>
      </c>
      <c r="D13" s="13" t="s">
        <v>280</v>
      </c>
      <c r="E13" s="16" t="s">
        <v>278</v>
      </c>
    </row>
    <row r="14" spans="2:5" ht="15" thickTop="1" x14ac:dyDescent="0.35"/>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4:J16"/>
  <sheetViews>
    <sheetView workbookViewId="0">
      <selection activeCell="D5" sqref="D5"/>
    </sheetView>
  </sheetViews>
  <sheetFormatPr defaultRowHeight="14.5" x14ac:dyDescent="0.35"/>
  <cols>
    <col min="2" max="2" width="18.6328125" bestFit="1" customWidth="1"/>
    <col min="3" max="3" width="6.81640625" bestFit="1" customWidth="1"/>
    <col min="4" max="4" width="5" bestFit="1" customWidth="1"/>
    <col min="5" max="5" width="10.7265625" bestFit="1" customWidth="1"/>
    <col min="7" max="7" width="14" customWidth="1"/>
    <col min="8" max="8" width="11.7265625" customWidth="1"/>
  </cols>
  <sheetData>
    <row r="4" spans="2:10" x14ac:dyDescent="0.35">
      <c r="B4" s="44" t="s">
        <v>284</v>
      </c>
      <c r="C4" s="44" t="s">
        <v>285</v>
      </c>
      <c r="D4" s="2"/>
      <c r="H4" s="55" t="s">
        <v>286</v>
      </c>
      <c r="I4" s="55"/>
      <c r="J4" s="1"/>
    </row>
    <row r="5" spans="2:10" x14ac:dyDescent="0.35">
      <c r="B5" s="44" t="s">
        <v>283</v>
      </c>
      <c r="C5" s="2" t="s">
        <v>138</v>
      </c>
      <c r="D5" s="2" t="s">
        <v>142</v>
      </c>
      <c r="G5" s="5" t="s">
        <v>228</v>
      </c>
      <c r="H5" s="43" t="s">
        <v>142</v>
      </c>
      <c r="I5" s="43" t="s">
        <v>138</v>
      </c>
    </row>
    <row r="6" spans="2:10" x14ac:dyDescent="0.35">
      <c r="B6" s="3" t="s">
        <v>159</v>
      </c>
      <c r="C6" s="2">
        <v>1</v>
      </c>
      <c r="D6" s="2">
        <v>2</v>
      </c>
      <c r="G6" s="2" t="s">
        <v>159</v>
      </c>
      <c r="H6" s="2">
        <f>COUNTIFS(SPORTSMEN!$K$1:$K$51,ANALYSIS!$G6,SPORTSMEN!$I$1:$I$51,ANALYSIS!$H$5)</f>
        <v>2</v>
      </c>
      <c r="I6" s="2">
        <f>COUNTIFS(SPORTSMEN!$K$1:$K$51,ANALYSIS!$G6,SPORTSMEN!$I$1:$I$51,$I$5)</f>
        <v>1</v>
      </c>
    </row>
    <row r="7" spans="2:10" x14ac:dyDescent="0.35">
      <c r="B7" s="3" t="s">
        <v>151</v>
      </c>
      <c r="C7" s="2">
        <v>6</v>
      </c>
      <c r="D7" s="2">
        <v>2</v>
      </c>
      <c r="G7" s="2" t="s">
        <v>151</v>
      </c>
      <c r="H7" s="2">
        <f>COUNTIFS(SPORTSMEN!$K$1:$K$51,ANALYSIS!$G7,SPORTSMEN!$I$1:$I$51,ANALYSIS!$H$5)</f>
        <v>2</v>
      </c>
      <c r="I7" s="2">
        <f>COUNTIFS(SPORTSMEN!$K$1:$K$51,ANALYSIS!$G7,SPORTSMEN!$I$1:$I$51,$I$5)</f>
        <v>6</v>
      </c>
    </row>
    <row r="8" spans="2:10" x14ac:dyDescent="0.35">
      <c r="B8" s="3" t="s">
        <v>153</v>
      </c>
      <c r="C8" s="2">
        <v>1</v>
      </c>
      <c r="D8" s="2">
        <v>2</v>
      </c>
      <c r="G8" s="2" t="s">
        <v>153</v>
      </c>
      <c r="H8" s="2">
        <f>COUNTIFS(SPORTSMEN!$K$1:$K$51,ANALYSIS!$G8,SPORTSMEN!$I$1:$I$51,ANALYSIS!$H$5)</f>
        <v>2</v>
      </c>
      <c r="I8" s="2">
        <f>COUNTIFS(SPORTSMEN!$K$1:$K$51,ANALYSIS!$G8,SPORTSMEN!$I$1:$I$51,$I$5)</f>
        <v>1</v>
      </c>
    </row>
    <row r="9" spans="2:10" x14ac:dyDescent="0.35">
      <c r="B9" s="3" t="s">
        <v>144</v>
      </c>
      <c r="C9" s="2"/>
      <c r="D9" s="2">
        <v>2</v>
      </c>
      <c r="G9" s="2" t="s">
        <v>144</v>
      </c>
      <c r="H9" s="2">
        <f>COUNTIFS(SPORTSMEN!$K$1:$K$51,ANALYSIS!$G9,SPORTSMEN!$I$1:$I$51,ANALYSIS!$H$5)</f>
        <v>2</v>
      </c>
      <c r="I9" s="2">
        <f>COUNTIFS(SPORTSMEN!$K$1:$K$51,ANALYSIS!$G9,SPORTSMEN!$I$1:$I$51,$I$5)</f>
        <v>0</v>
      </c>
    </row>
    <row r="10" spans="2:10" x14ac:dyDescent="0.35">
      <c r="B10" s="3" t="s">
        <v>156</v>
      </c>
      <c r="C10" s="2">
        <v>3</v>
      </c>
      <c r="D10" s="2">
        <v>6</v>
      </c>
      <c r="G10" s="2" t="s">
        <v>156</v>
      </c>
      <c r="H10" s="2">
        <f>COUNTIFS(SPORTSMEN!$K$1:$K$51,ANALYSIS!$G10,SPORTSMEN!$I$1:$I$51,ANALYSIS!$H$5)</f>
        <v>6</v>
      </c>
      <c r="I10" s="2">
        <f>COUNTIFS(SPORTSMEN!$K$1:$K$51,ANALYSIS!$G10,SPORTSMEN!$I$1:$I$51,$I$5)</f>
        <v>3</v>
      </c>
    </row>
    <row r="11" spans="2:10" x14ac:dyDescent="0.35">
      <c r="B11" s="3" t="s">
        <v>149</v>
      </c>
      <c r="C11" s="2">
        <v>1</v>
      </c>
      <c r="D11" s="2">
        <v>4</v>
      </c>
      <c r="G11" s="2" t="s">
        <v>149</v>
      </c>
      <c r="H11" s="2">
        <f>COUNTIFS(SPORTSMEN!$K$1:$K$51,ANALYSIS!$G11,SPORTSMEN!$I$1:$I$51,ANALYSIS!$H$5)</f>
        <v>4</v>
      </c>
      <c r="I11" s="2">
        <f>COUNTIFS(SPORTSMEN!$K$1:$K$51,ANALYSIS!$G11,SPORTSMEN!$I$1:$I$51,$I$5)</f>
        <v>1</v>
      </c>
    </row>
    <row r="12" spans="2:10" x14ac:dyDescent="0.35">
      <c r="B12" s="3" t="s">
        <v>164</v>
      </c>
      <c r="C12" s="2">
        <v>2</v>
      </c>
      <c r="D12" s="2">
        <v>1</v>
      </c>
      <c r="G12" s="2" t="s">
        <v>164</v>
      </c>
      <c r="H12" s="2">
        <f>COUNTIFS(SPORTSMEN!$K$1:$K$51,ANALYSIS!$G12,SPORTSMEN!$I$1:$I$51,ANALYSIS!$H$5)</f>
        <v>1</v>
      </c>
      <c r="I12" s="2">
        <f>COUNTIFS(SPORTSMEN!$K$1:$K$51,ANALYSIS!$G12,SPORTSMEN!$I$1:$I$51,$I$5)</f>
        <v>2</v>
      </c>
    </row>
    <row r="13" spans="2:10" x14ac:dyDescent="0.35">
      <c r="B13" s="3" t="s">
        <v>161</v>
      </c>
      <c r="C13" s="2">
        <v>3</v>
      </c>
      <c r="D13" s="2"/>
      <c r="G13" s="2" t="s">
        <v>161</v>
      </c>
      <c r="H13" s="2">
        <f>COUNTIFS(SPORTSMEN!$K$1:$K$51,ANALYSIS!$G13,SPORTSMEN!$I$1:$I$51,ANALYSIS!$H$5)</f>
        <v>0</v>
      </c>
      <c r="I13" s="2">
        <f>COUNTIFS(SPORTSMEN!$K$1:$K$51,ANALYSIS!$G13,SPORTSMEN!$I$1:$I$51,$I$5)</f>
        <v>3</v>
      </c>
    </row>
    <row r="14" spans="2:10" x14ac:dyDescent="0.35">
      <c r="B14" s="3" t="s">
        <v>167</v>
      </c>
      <c r="C14" s="2">
        <v>1</v>
      </c>
      <c r="D14" s="2">
        <v>1</v>
      </c>
      <c r="G14" s="2" t="s">
        <v>167</v>
      </c>
      <c r="H14" s="2">
        <f>COUNTIFS(SPORTSMEN!$K$1:$K$51,ANALYSIS!$G14,SPORTSMEN!$I$1:$I$51,ANALYSIS!$H$5)</f>
        <v>1</v>
      </c>
      <c r="I14" s="2">
        <f>COUNTIFS(SPORTSMEN!$K$1:$K$51,ANALYSIS!$G14,SPORTSMEN!$I$1:$I$51,$I$5)</f>
        <v>1</v>
      </c>
    </row>
    <row r="15" spans="2:10" x14ac:dyDescent="0.35">
      <c r="B15" s="3" t="s">
        <v>146</v>
      </c>
      <c r="C15" s="2">
        <v>3</v>
      </c>
      <c r="D15" s="2">
        <v>2</v>
      </c>
      <c r="G15" s="2" t="s">
        <v>146</v>
      </c>
      <c r="H15" s="2">
        <f>COUNTIFS(SPORTSMEN!$K$1:$K$51,ANALYSIS!$G15,SPORTSMEN!$I$1:$I$51,ANALYSIS!$H$5)</f>
        <v>2</v>
      </c>
      <c r="I15" s="2">
        <f>COUNTIFS(SPORTSMEN!$K$1:$K$51,ANALYSIS!$G15,SPORTSMEN!$I$1:$I$51,$I$5)</f>
        <v>3</v>
      </c>
    </row>
    <row r="16" spans="2:10" x14ac:dyDescent="0.35">
      <c r="B16" s="3" t="s">
        <v>140</v>
      </c>
      <c r="C16" s="2">
        <v>4</v>
      </c>
      <c r="D16" s="2">
        <v>3</v>
      </c>
      <c r="G16" s="2" t="s">
        <v>140</v>
      </c>
      <c r="H16" s="2">
        <f>COUNTIFS(SPORTSMEN!$K$1:$K$51,ANALYSIS!$G16,SPORTSMEN!$I$1:$I$51,ANALYSIS!$H$5)</f>
        <v>3</v>
      </c>
      <c r="I16" s="2">
        <f>COUNTIFS(SPORTSMEN!$K$1:$K$51,ANALYSIS!$G16,SPORTSMEN!$I$1:$I$51,$I$5)</f>
        <v>4</v>
      </c>
    </row>
  </sheetData>
  <sortState xmlns:xlrd2="http://schemas.microsoft.com/office/spreadsheetml/2017/richdata2" ref="G6:G16">
    <sortCondition ref="G6:G16"/>
  </sortState>
  <mergeCells count="1">
    <mergeCell ref="H4:I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1:H53"/>
  <sheetViews>
    <sheetView showGridLines="0" tabSelected="1" workbookViewId="0">
      <selection activeCell="A3" sqref="A3"/>
    </sheetView>
  </sheetViews>
  <sheetFormatPr defaultRowHeight="14.5" x14ac:dyDescent="0.35"/>
  <cols>
    <col min="1" max="1" width="13.453125" customWidth="1"/>
    <col min="2" max="3" width="12.81640625" customWidth="1"/>
    <col min="4" max="4" width="15.6328125" customWidth="1"/>
    <col min="5" max="5" width="18.453125" customWidth="1"/>
    <col min="6" max="6" width="10.26953125" customWidth="1"/>
    <col min="7" max="7" width="23.6328125" customWidth="1"/>
    <col min="8" max="8" width="26.54296875" bestFit="1" customWidth="1"/>
  </cols>
  <sheetData>
    <row r="1" spans="1:8" x14ac:dyDescent="0.35">
      <c r="A1" s="42" t="s">
        <v>238</v>
      </c>
      <c r="B1" t="s">
        <v>422</v>
      </c>
    </row>
    <row r="3" spans="1:8" x14ac:dyDescent="0.35">
      <c r="A3" s="42" t="s">
        <v>222</v>
      </c>
      <c r="B3" s="42" t="s">
        <v>172</v>
      </c>
      <c r="C3" s="42" t="s">
        <v>136</v>
      </c>
      <c r="D3" s="42" t="s">
        <v>228</v>
      </c>
      <c r="E3" s="42" t="s">
        <v>423</v>
      </c>
      <c r="F3" s="42" t="s">
        <v>170</v>
      </c>
      <c r="G3" s="42" t="s">
        <v>233</v>
      </c>
      <c r="H3" s="42" t="s">
        <v>221</v>
      </c>
    </row>
    <row r="4" spans="1:8" x14ac:dyDescent="0.35">
      <c r="A4" s="32">
        <v>1</v>
      </c>
      <c r="B4" t="s">
        <v>174</v>
      </c>
      <c r="C4" t="s">
        <v>139</v>
      </c>
      <c r="D4" t="s">
        <v>140</v>
      </c>
      <c r="E4" t="s">
        <v>387</v>
      </c>
      <c r="F4" t="s">
        <v>138</v>
      </c>
      <c r="G4" t="s">
        <v>337</v>
      </c>
      <c r="H4" t="s">
        <v>287</v>
      </c>
    </row>
    <row r="5" spans="1:8" x14ac:dyDescent="0.35">
      <c r="A5" s="32">
        <v>2</v>
      </c>
      <c r="B5" t="s">
        <v>175</v>
      </c>
      <c r="C5" t="s">
        <v>139</v>
      </c>
      <c r="D5" t="s">
        <v>140</v>
      </c>
      <c r="E5" t="s">
        <v>388</v>
      </c>
      <c r="F5" t="s">
        <v>138</v>
      </c>
      <c r="G5" t="s">
        <v>355</v>
      </c>
      <c r="H5" t="s">
        <v>288</v>
      </c>
    </row>
    <row r="6" spans="1:8" x14ac:dyDescent="0.35">
      <c r="A6" s="32">
        <v>3</v>
      </c>
      <c r="B6" t="s">
        <v>177</v>
      </c>
      <c r="C6" t="s">
        <v>143</v>
      </c>
      <c r="D6" t="s">
        <v>144</v>
      </c>
      <c r="E6" t="s">
        <v>389</v>
      </c>
      <c r="F6" t="s">
        <v>142</v>
      </c>
      <c r="G6" t="s">
        <v>347</v>
      </c>
      <c r="H6" t="s">
        <v>289</v>
      </c>
    </row>
    <row r="7" spans="1:8" x14ac:dyDescent="0.35">
      <c r="A7" s="32">
        <v>4</v>
      </c>
      <c r="B7" t="s">
        <v>178</v>
      </c>
      <c r="C7" t="s">
        <v>139</v>
      </c>
      <c r="D7" t="s">
        <v>140</v>
      </c>
      <c r="E7" t="s">
        <v>390</v>
      </c>
      <c r="F7" t="s">
        <v>138</v>
      </c>
      <c r="G7" t="s">
        <v>344</v>
      </c>
      <c r="H7" t="s">
        <v>290</v>
      </c>
    </row>
    <row r="8" spans="1:8" x14ac:dyDescent="0.35">
      <c r="A8" s="32">
        <v>5</v>
      </c>
      <c r="B8" t="s">
        <v>179</v>
      </c>
      <c r="C8" t="s">
        <v>139</v>
      </c>
      <c r="D8" t="s">
        <v>140</v>
      </c>
      <c r="E8" t="s">
        <v>391</v>
      </c>
      <c r="F8" t="s">
        <v>142</v>
      </c>
      <c r="G8" t="s">
        <v>342</v>
      </c>
      <c r="H8" t="s">
        <v>291</v>
      </c>
    </row>
    <row r="9" spans="1:8" x14ac:dyDescent="0.35">
      <c r="A9" s="32">
        <v>6</v>
      </c>
      <c r="B9" t="s">
        <v>180</v>
      </c>
      <c r="C9" t="s">
        <v>139</v>
      </c>
      <c r="D9" t="s">
        <v>140</v>
      </c>
      <c r="E9" t="s">
        <v>388</v>
      </c>
      <c r="F9" t="s">
        <v>142</v>
      </c>
      <c r="G9" t="s">
        <v>356</v>
      </c>
      <c r="H9" t="s">
        <v>292</v>
      </c>
    </row>
    <row r="10" spans="1:8" x14ac:dyDescent="0.35">
      <c r="A10" s="32">
        <v>7</v>
      </c>
      <c r="B10" t="s">
        <v>181</v>
      </c>
      <c r="C10" t="s">
        <v>139</v>
      </c>
      <c r="D10" t="s">
        <v>140</v>
      </c>
      <c r="E10" t="s">
        <v>392</v>
      </c>
      <c r="F10" t="s">
        <v>138</v>
      </c>
      <c r="G10" t="s">
        <v>346</v>
      </c>
      <c r="H10" t="s">
        <v>293</v>
      </c>
    </row>
    <row r="11" spans="1:8" x14ac:dyDescent="0.35">
      <c r="A11" s="32">
        <v>8</v>
      </c>
      <c r="B11" t="s">
        <v>182</v>
      </c>
      <c r="C11" t="s">
        <v>139</v>
      </c>
      <c r="D11" t="s">
        <v>140</v>
      </c>
      <c r="E11" t="s">
        <v>393</v>
      </c>
      <c r="F11" t="s">
        <v>142</v>
      </c>
      <c r="G11" t="s">
        <v>367</v>
      </c>
      <c r="H11" t="s">
        <v>294</v>
      </c>
    </row>
    <row r="12" spans="1:8" x14ac:dyDescent="0.35">
      <c r="A12" s="32">
        <v>9</v>
      </c>
      <c r="B12" t="s">
        <v>183</v>
      </c>
      <c r="C12" t="s">
        <v>139</v>
      </c>
      <c r="D12" t="s">
        <v>146</v>
      </c>
      <c r="E12" t="s">
        <v>394</v>
      </c>
      <c r="F12" t="s">
        <v>138</v>
      </c>
      <c r="G12" t="s">
        <v>378</v>
      </c>
      <c r="H12" t="s">
        <v>295</v>
      </c>
    </row>
    <row r="13" spans="1:8" x14ac:dyDescent="0.35">
      <c r="A13" s="32">
        <v>10</v>
      </c>
      <c r="B13" t="s">
        <v>181</v>
      </c>
      <c r="C13" t="s">
        <v>139</v>
      </c>
      <c r="D13" t="s">
        <v>146</v>
      </c>
      <c r="E13" t="s">
        <v>395</v>
      </c>
      <c r="F13" t="s">
        <v>142</v>
      </c>
      <c r="G13" t="s">
        <v>375</v>
      </c>
      <c r="H13" t="s">
        <v>296</v>
      </c>
    </row>
    <row r="14" spans="1:8" x14ac:dyDescent="0.35">
      <c r="A14" s="32">
        <v>11</v>
      </c>
      <c r="B14" t="s">
        <v>184</v>
      </c>
      <c r="C14" t="s">
        <v>139</v>
      </c>
      <c r="D14" t="s">
        <v>146</v>
      </c>
      <c r="E14" t="s">
        <v>396</v>
      </c>
      <c r="F14" t="s">
        <v>142</v>
      </c>
      <c r="G14" t="s">
        <v>360</v>
      </c>
      <c r="H14" t="s">
        <v>297</v>
      </c>
    </row>
    <row r="15" spans="1:8" x14ac:dyDescent="0.35">
      <c r="A15" s="32">
        <v>12</v>
      </c>
      <c r="B15" t="s">
        <v>185</v>
      </c>
      <c r="C15" t="s">
        <v>139</v>
      </c>
      <c r="D15" t="s">
        <v>146</v>
      </c>
      <c r="E15" t="s">
        <v>397</v>
      </c>
      <c r="F15" t="s">
        <v>138</v>
      </c>
      <c r="G15" t="s">
        <v>386</v>
      </c>
      <c r="H15" t="s">
        <v>298</v>
      </c>
    </row>
    <row r="16" spans="1:8" x14ac:dyDescent="0.35">
      <c r="A16" s="32">
        <v>13</v>
      </c>
      <c r="B16" t="s">
        <v>186</v>
      </c>
      <c r="C16" t="s">
        <v>139</v>
      </c>
      <c r="D16" t="s">
        <v>146</v>
      </c>
      <c r="E16" t="s">
        <v>397</v>
      </c>
      <c r="F16" t="s">
        <v>138</v>
      </c>
      <c r="G16" t="s">
        <v>374</v>
      </c>
      <c r="H16" t="s">
        <v>299</v>
      </c>
    </row>
    <row r="17" spans="1:8" x14ac:dyDescent="0.35">
      <c r="A17" s="32">
        <v>14</v>
      </c>
      <c r="B17" t="s">
        <v>187</v>
      </c>
      <c r="C17" t="s">
        <v>148</v>
      </c>
      <c r="D17" t="s">
        <v>149</v>
      </c>
      <c r="E17" t="s">
        <v>398</v>
      </c>
      <c r="F17" t="s">
        <v>142</v>
      </c>
      <c r="G17" t="s">
        <v>384</v>
      </c>
      <c r="H17" t="s">
        <v>300</v>
      </c>
    </row>
    <row r="18" spans="1:8" x14ac:dyDescent="0.35">
      <c r="A18" s="32">
        <v>15</v>
      </c>
      <c r="B18" t="s">
        <v>188</v>
      </c>
      <c r="C18" t="s">
        <v>148</v>
      </c>
      <c r="D18" t="s">
        <v>149</v>
      </c>
      <c r="E18" t="s">
        <v>399</v>
      </c>
      <c r="F18" t="s">
        <v>138</v>
      </c>
      <c r="G18" t="s">
        <v>373</v>
      </c>
      <c r="H18" t="s">
        <v>301</v>
      </c>
    </row>
    <row r="19" spans="1:8" x14ac:dyDescent="0.35">
      <c r="A19" s="32">
        <v>16</v>
      </c>
      <c r="B19" t="s">
        <v>178</v>
      </c>
      <c r="C19" t="s">
        <v>148</v>
      </c>
      <c r="D19" t="s">
        <v>149</v>
      </c>
      <c r="E19" t="s">
        <v>389</v>
      </c>
      <c r="F19" t="s">
        <v>142</v>
      </c>
      <c r="G19" t="s">
        <v>341</v>
      </c>
      <c r="H19" t="s">
        <v>302</v>
      </c>
    </row>
    <row r="20" spans="1:8" x14ac:dyDescent="0.35">
      <c r="A20" s="32">
        <v>17</v>
      </c>
      <c r="B20" t="s">
        <v>189</v>
      </c>
      <c r="C20" t="s">
        <v>148</v>
      </c>
      <c r="D20" t="s">
        <v>149</v>
      </c>
      <c r="E20" t="s">
        <v>400</v>
      </c>
      <c r="F20" t="s">
        <v>142</v>
      </c>
      <c r="G20" t="s">
        <v>379</v>
      </c>
      <c r="H20" t="s">
        <v>303</v>
      </c>
    </row>
    <row r="21" spans="1:8" x14ac:dyDescent="0.35">
      <c r="A21" s="32">
        <v>18</v>
      </c>
      <c r="B21" t="s">
        <v>190</v>
      </c>
      <c r="C21" t="s">
        <v>148</v>
      </c>
      <c r="D21" t="s">
        <v>149</v>
      </c>
      <c r="E21" t="s">
        <v>398</v>
      </c>
      <c r="F21" t="s">
        <v>142</v>
      </c>
      <c r="G21" t="s">
        <v>381</v>
      </c>
      <c r="H21" t="s">
        <v>304</v>
      </c>
    </row>
    <row r="22" spans="1:8" x14ac:dyDescent="0.35">
      <c r="A22" s="32">
        <v>19</v>
      </c>
      <c r="B22" t="s">
        <v>191</v>
      </c>
      <c r="C22" t="s">
        <v>139</v>
      </c>
      <c r="D22" t="s">
        <v>151</v>
      </c>
      <c r="E22" t="s">
        <v>397</v>
      </c>
      <c r="F22" t="s">
        <v>138</v>
      </c>
      <c r="G22" t="s">
        <v>368</v>
      </c>
      <c r="H22" t="s">
        <v>305</v>
      </c>
    </row>
    <row r="23" spans="1:8" x14ac:dyDescent="0.35">
      <c r="A23" s="32">
        <v>20</v>
      </c>
      <c r="B23" t="s">
        <v>192</v>
      </c>
      <c r="C23" t="s">
        <v>139</v>
      </c>
      <c r="D23" t="s">
        <v>151</v>
      </c>
      <c r="E23" t="s">
        <v>401</v>
      </c>
      <c r="F23" t="s">
        <v>142</v>
      </c>
      <c r="G23" t="s">
        <v>349</v>
      </c>
      <c r="H23" t="s">
        <v>306</v>
      </c>
    </row>
    <row r="24" spans="1:8" x14ac:dyDescent="0.35">
      <c r="A24" s="32">
        <v>21</v>
      </c>
      <c r="B24" t="s">
        <v>193</v>
      </c>
      <c r="C24" t="s">
        <v>139</v>
      </c>
      <c r="D24" t="s">
        <v>151</v>
      </c>
      <c r="E24" t="s">
        <v>402</v>
      </c>
      <c r="F24" t="s">
        <v>142</v>
      </c>
      <c r="G24" t="s">
        <v>372</v>
      </c>
      <c r="H24" t="s">
        <v>307</v>
      </c>
    </row>
    <row r="25" spans="1:8" x14ac:dyDescent="0.35">
      <c r="A25" s="32">
        <v>22</v>
      </c>
      <c r="B25" t="s">
        <v>194</v>
      </c>
      <c r="C25" t="s">
        <v>139</v>
      </c>
      <c r="D25" t="s">
        <v>151</v>
      </c>
      <c r="E25" t="s">
        <v>395</v>
      </c>
      <c r="F25" t="s">
        <v>138</v>
      </c>
      <c r="G25" t="s">
        <v>362</v>
      </c>
      <c r="H25" t="s">
        <v>308</v>
      </c>
    </row>
    <row r="26" spans="1:8" x14ac:dyDescent="0.35">
      <c r="A26" s="32">
        <v>23</v>
      </c>
      <c r="B26" t="s">
        <v>195</v>
      </c>
      <c r="C26" t="s">
        <v>139</v>
      </c>
      <c r="D26" t="s">
        <v>151</v>
      </c>
      <c r="E26" t="s">
        <v>403</v>
      </c>
      <c r="F26" t="s">
        <v>138</v>
      </c>
      <c r="G26" t="s">
        <v>383</v>
      </c>
      <c r="H26" t="s">
        <v>309</v>
      </c>
    </row>
    <row r="27" spans="1:8" x14ac:dyDescent="0.35">
      <c r="A27" s="32">
        <v>24</v>
      </c>
      <c r="B27" t="s">
        <v>196</v>
      </c>
      <c r="C27" t="s">
        <v>139</v>
      </c>
      <c r="D27" t="s">
        <v>151</v>
      </c>
      <c r="E27" t="s">
        <v>392</v>
      </c>
      <c r="F27" t="s">
        <v>138</v>
      </c>
      <c r="G27" t="s">
        <v>340</v>
      </c>
      <c r="H27" t="s">
        <v>310</v>
      </c>
    </row>
    <row r="28" spans="1:8" x14ac:dyDescent="0.35">
      <c r="A28" s="32">
        <v>25</v>
      </c>
      <c r="B28" t="s">
        <v>181</v>
      </c>
      <c r="C28" t="s">
        <v>139</v>
      </c>
      <c r="D28" t="s">
        <v>151</v>
      </c>
      <c r="E28" t="s">
        <v>404</v>
      </c>
      <c r="F28" t="s">
        <v>138</v>
      </c>
      <c r="G28" t="s">
        <v>338</v>
      </c>
      <c r="H28" t="s">
        <v>311</v>
      </c>
    </row>
    <row r="29" spans="1:8" x14ac:dyDescent="0.35">
      <c r="A29" s="32">
        <v>26</v>
      </c>
      <c r="B29" t="s">
        <v>174</v>
      </c>
      <c r="C29" t="s">
        <v>139</v>
      </c>
      <c r="D29" t="s">
        <v>151</v>
      </c>
      <c r="E29" t="s">
        <v>405</v>
      </c>
      <c r="F29" t="s">
        <v>138</v>
      </c>
      <c r="G29" t="s">
        <v>371</v>
      </c>
      <c r="H29" t="s">
        <v>312</v>
      </c>
    </row>
    <row r="30" spans="1:8" x14ac:dyDescent="0.35">
      <c r="A30" s="32">
        <v>27</v>
      </c>
      <c r="B30" t="s">
        <v>197</v>
      </c>
      <c r="C30" t="s">
        <v>148</v>
      </c>
      <c r="D30" t="s">
        <v>153</v>
      </c>
      <c r="E30" t="s">
        <v>391</v>
      </c>
      <c r="F30" t="s">
        <v>142</v>
      </c>
      <c r="G30" t="s">
        <v>385</v>
      </c>
      <c r="H30" t="s">
        <v>313</v>
      </c>
    </row>
    <row r="31" spans="1:8" x14ac:dyDescent="0.35">
      <c r="A31" s="32">
        <v>28</v>
      </c>
      <c r="B31" t="s">
        <v>186</v>
      </c>
      <c r="C31" t="s">
        <v>148</v>
      </c>
      <c r="D31" t="s">
        <v>153</v>
      </c>
      <c r="E31" t="s">
        <v>406</v>
      </c>
      <c r="F31" t="s">
        <v>142</v>
      </c>
      <c r="G31" t="s">
        <v>351</v>
      </c>
      <c r="H31" t="s">
        <v>314</v>
      </c>
    </row>
    <row r="32" spans="1:8" x14ac:dyDescent="0.35">
      <c r="A32" s="32">
        <v>29</v>
      </c>
      <c r="B32" t="s">
        <v>181</v>
      </c>
      <c r="C32" t="s">
        <v>148</v>
      </c>
      <c r="D32" t="s">
        <v>153</v>
      </c>
      <c r="E32" t="s">
        <v>407</v>
      </c>
      <c r="F32" t="s">
        <v>138</v>
      </c>
      <c r="G32" t="s">
        <v>369</v>
      </c>
      <c r="H32" t="s">
        <v>315</v>
      </c>
    </row>
    <row r="33" spans="1:8" x14ac:dyDescent="0.35">
      <c r="A33" s="32">
        <v>30</v>
      </c>
      <c r="B33" t="s">
        <v>198</v>
      </c>
      <c r="C33" t="s">
        <v>155</v>
      </c>
      <c r="D33" t="s">
        <v>156</v>
      </c>
      <c r="E33" t="s">
        <v>408</v>
      </c>
      <c r="F33" t="s">
        <v>138</v>
      </c>
      <c r="G33" t="s">
        <v>359</v>
      </c>
      <c r="H33" t="s">
        <v>316</v>
      </c>
    </row>
    <row r="34" spans="1:8" x14ac:dyDescent="0.35">
      <c r="A34" s="32">
        <v>31</v>
      </c>
      <c r="B34" t="s">
        <v>197</v>
      </c>
      <c r="C34" t="s">
        <v>155</v>
      </c>
      <c r="D34" t="s">
        <v>156</v>
      </c>
      <c r="E34" t="s">
        <v>409</v>
      </c>
      <c r="F34" t="s">
        <v>138</v>
      </c>
      <c r="G34" t="s">
        <v>345</v>
      </c>
      <c r="H34" t="s">
        <v>317</v>
      </c>
    </row>
    <row r="35" spans="1:8" x14ac:dyDescent="0.35">
      <c r="A35" s="32">
        <v>32</v>
      </c>
      <c r="B35" t="s">
        <v>195</v>
      </c>
      <c r="C35" t="s">
        <v>155</v>
      </c>
      <c r="D35" t="s">
        <v>156</v>
      </c>
      <c r="E35" t="s">
        <v>391</v>
      </c>
      <c r="F35" t="s">
        <v>138</v>
      </c>
      <c r="G35" t="s">
        <v>343</v>
      </c>
      <c r="H35" t="s">
        <v>318</v>
      </c>
    </row>
    <row r="36" spans="1:8" x14ac:dyDescent="0.35">
      <c r="A36" s="32">
        <v>33</v>
      </c>
      <c r="B36" t="s">
        <v>199</v>
      </c>
      <c r="C36" t="s">
        <v>155</v>
      </c>
      <c r="D36" t="s">
        <v>156</v>
      </c>
      <c r="E36" t="s">
        <v>410</v>
      </c>
      <c r="F36" t="s">
        <v>142</v>
      </c>
      <c r="G36" t="s">
        <v>382</v>
      </c>
      <c r="H36" t="s">
        <v>319</v>
      </c>
    </row>
    <row r="37" spans="1:8" x14ac:dyDescent="0.35">
      <c r="A37" s="32">
        <v>34</v>
      </c>
      <c r="B37" t="s">
        <v>193</v>
      </c>
      <c r="C37" t="s">
        <v>155</v>
      </c>
      <c r="D37" t="s">
        <v>156</v>
      </c>
      <c r="E37" t="s">
        <v>411</v>
      </c>
      <c r="F37" t="s">
        <v>142</v>
      </c>
      <c r="G37" t="s">
        <v>354</v>
      </c>
      <c r="H37" t="s">
        <v>320</v>
      </c>
    </row>
    <row r="38" spans="1:8" x14ac:dyDescent="0.35">
      <c r="A38" s="32">
        <v>35</v>
      </c>
      <c r="B38" t="s">
        <v>200</v>
      </c>
      <c r="C38" t="s">
        <v>155</v>
      </c>
      <c r="D38" t="s">
        <v>156</v>
      </c>
      <c r="E38" t="s">
        <v>403</v>
      </c>
      <c r="F38" t="s">
        <v>142</v>
      </c>
      <c r="G38" t="s">
        <v>353</v>
      </c>
      <c r="H38" t="s">
        <v>321</v>
      </c>
    </row>
    <row r="39" spans="1:8" x14ac:dyDescent="0.35">
      <c r="A39" s="32">
        <v>36</v>
      </c>
      <c r="B39" t="s">
        <v>193</v>
      </c>
      <c r="C39" t="s">
        <v>155</v>
      </c>
      <c r="D39" t="s">
        <v>156</v>
      </c>
      <c r="E39" t="s">
        <v>390</v>
      </c>
      <c r="F39" t="s">
        <v>142</v>
      </c>
      <c r="G39" t="s">
        <v>352</v>
      </c>
      <c r="H39" t="s">
        <v>322</v>
      </c>
    </row>
    <row r="40" spans="1:8" x14ac:dyDescent="0.35">
      <c r="A40" s="32">
        <v>37</v>
      </c>
      <c r="B40" t="s">
        <v>201</v>
      </c>
      <c r="C40" t="s">
        <v>155</v>
      </c>
      <c r="D40" t="s">
        <v>156</v>
      </c>
      <c r="E40" t="s">
        <v>396</v>
      </c>
      <c r="F40" t="s">
        <v>142</v>
      </c>
      <c r="G40" t="s">
        <v>357</v>
      </c>
      <c r="H40" t="s">
        <v>323</v>
      </c>
    </row>
    <row r="41" spans="1:8" x14ac:dyDescent="0.35">
      <c r="A41" s="32">
        <v>38</v>
      </c>
      <c r="B41" t="s">
        <v>174</v>
      </c>
      <c r="C41" t="s">
        <v>155</v>
      </c>
      <c r="D41" t="s">
        <v>156</v>
      </c>
      <c r="E41" t="s">
        <v>412</v>
      </c>
      <c r="F41" t="s">
        <v>142</v>
      </c>
      <c r="G41" t="s">
        <v>350</v>
      </c>
      <c r="H41" t="s">
        <v>324</v>
      </c>
    </row>
    <row r="42" spans="1:8" x14ac:dyDescent="0.35">
      <c r="A42" s="32">
        <v>39</v>
      </c>
      <c r="B42" t="s">
        <v>196</v>
      </c>
      <c r="C42" t="s">
        <v>158</v>
      </c>
      <c r="D42" t="s">
        <v>159</v>
      </c>
      <c r="E42" t="s">
        <v>413</v>
      </c>
      <c r="F42" t="s">
        <v>142</v>
      </c>
      <c r="G42" t="s">
        <v>380</v>
      </c>
      <c r="H42" t="s">
        <v>325</v>
      </c>
    </row>
    <row r="43" spans="1:8" x14ac:dyDescent="0.35">
      <c r="A43" s="32">
        <v>40</v>
      </c>
      <c r="B43" t="s">
        <v>195</v>
      </c>
      <c r="C43" t="s">
        <v>158</v>
      </c>
      <c r="D43" t="s">
        <v>159</v>
      </c>
      <c r="E43" t="s">
        <v>414</v>
      </c>
      <c r="F43" t="s">
        <v>142</v>
      </c>
      <c r="G43" t="s">
        <v>365</v>
      </c>
      <c r="H43" t="s">
        <v>326</v>
      </c>
    </row>
    <row r="44" spans="1:8" x14ac:dyDescent="0.35">
      <c r="A44" s="32">
        <v>41</v>
      </c>
      <c r="B44" t="s">
        <v>202</v>
      </c>
      <c r="C44" t="s">
        <v>158</v>
      </c>
      <c r="D44" t="s">
        <v>159</v>
      </c>
      <c r="E44" t="s">
        <v>415</v>
      </c>
      <c r="F44" t="s">
        <v>138</v>
      </c>
      <c r="G44" t="s">
        <v>361</v>
      </c>
      <c r="H44" t="s">
        <v>327</v>
      </c>
    </row>
    <row r="45" spans="1:8" x14ac:dyDescent="0.35">
      <c r="A45" s="32">
        <v>42</v>
      </c>
      <c r="B45" t="s">
        <v>203</v>
      </c>
      <c r="C45" t="s">
        <v>158</v>
      </c>
      <c r="D45" t="s">
        <v>161</v>
      </c>
      <c r="E45" t="s">
        <v>416</v>
      </c>
      <c r="F45" t="s">
        <v>138</v>
      </c>
      <c r="G45" t="s">
        <v>348</v>
      </c>
      <c r="H45" t="s">
        <v>328</v>
      </c>
    </row>
    <row r="46" spans="1:8" x14ac:dyDescent="0.35">
      <c r="A46" s="32">
        <v>43</v>
      </c>
      <c r="B46" t="s">
        <v>196</v>
      </c>
      <c r="C46" t="s">
        <v>158</v>
      </c>
      <c r="D46" t="s">
        <v>161</v>
      </c>
      <c r="E46" t="s">
        <v>417</v>
      </c>
      <c r="F46" t="s">
        <v>138</v>
      </c>
      <c r="G46" t="s">
        <v>339</v>
      </c>
      <c r="H46" t="s">
        <v>329</v>
      </c>
    </row>
    <row r="47" spans="1:8" x14ac:dyDescent="0.35">
      <c r="A47" s="32">
        <v>44</v>
      </c>
      <c r="B47" t="s">
        <v>202</v>
      </c>
      <c r="C47" t="s">
        <v>158</v>
      </c>
      <c r="D47" t="s">
        <v>161</v>
      </c>
      <c r="E47" t="s">
        <v>399</v>
      </c>
      <c r="F47" t="s">
        <v>138</v>
      </c>
      <c r="G47" t="s">
        <v>358</v>
      </c>
      <c r="H47" t="s">
        <v>330</v>
      </c>
    </row>
    <row r="48" spans="1:8" x14ac:dyDescent="0.35">
      <c r="A48" s="32">
        <v>45</v>
      </c>
      <c r="B48" t="s">
        <v>204</v>
      </c>
      <c r="C48" t="s">
        <v>163</v>
      </c>
      <c r="D48" t="s">
        <v>164</v>
      </c>
      <c r="E48" t="s">
        <v>417</v>
      </c>
      <c r="F48" t="s">
        <v>138</v>
      </c>
      <c r="G48" t="s">
        <v>366</v>
      </c>
      <c r="H48" t="s">
        <v>331</v>
      </c>
    </row>
    <row r="49" spans="1:8" x14ac:dyDescent="0.35">
      <c r="A49" s="32">
        <v>46</v>
      </c>
      <c r="B49" t="s">
        <v>195</v>
      </c>
      <c r="C49" t="s">
        <v>163</v>
      </c>
      <c r="D49" t="s">
        <v>164</v>
      </c>
      <c r="E49" t="s">
        <v>418</v>
      </c>
      <c r="F49" t="s">
        <v>142</v>
      </c>
      <c r="G49" t="s">
        <v>364</v>
      </c>
      <c r="H49" t="s">
        <v>332</v>
      </c>
    </row>
    <row r="50" spans="1:8" x14ac:dyDescent="0.35">
      <c r="A50" s="32">
        <v>47</v>
      </c>
      <c r="B50" t="s">
        <v>195</v>
      </c>
      <c r="C50" t="s">
        <v>163</v>
      </c>
      <c r="D50" t="s">
        <v>164</v>
      </c>
      <c r="E50" t="s">
        <v>419</v>
      </c>
      <c r="F50" t="s">
        <v>138</v>
      </c>
      <c r="G50" t="s">
        <v>370</v>
      </c>
      <c r="H50" t="s">
        <v>333</v>
      </c>
    </row>
    <row r="51" spans="1:8" x14ac:dyDescent="0.35">
      <c r="A51" s="32">
        <v>48</v>
      </c>
      <c r="B51" t="s">
        <v>177</v>
      </c>
      <c r="C51" t="s">
        <v>166</v>
      </c>
      <c r="D51" t="s">
        <v>167</v>
      </c>
      <c r="E51" t="s">
        <v>387</v>
      </c>
      <c r="F51" t="s">
        <v>138</v>
      </c>
      <c r="G51" t="s">
        <v>377</v>
      </c>
      <c r="H51" t="s">
        <v>334</v>
      </c>
    </row>
    <row r="52" spans="1:8" x14ac:dyDescent="0.35">
      <c r="A52" s="32">
        <v>49</v>
      </c>
      <c r="B52" t="s">
        <v>205</v>
      </c>
      <c r="C52" t="s">
        <v>166</v>
      </c>
      <c r="D52" t="s">
        <v>167</v>
      </c>
      <c r="E52" t="s">
        <v>420</v>
      </c>
      <c r="F52" t="s">
        <v>142</v>
      </c>
      <c r="G52" t="s">
        <v>363</v>
      </c>
      <c r="H52" t="s">
        <v>335</v>
      </c>
    </row>
    <row r="53" spans="1:8" x14ac:dyDescent="0.35">
      <c r="A53" s="32">
        <v>50</v>
      </c>
      <c r="B53" t="s">
        <v>206</v>
      </c>
      <c r="C53" t="s">
        <v>143</v>
      </c>
      <c r="D53" t="s">
        <v>144</v>
      </c>
      <c r="E53" t="s">
        <v>421</v>
      </c>
      <c r="F53" t="s">
        <v>142</v>
      </c>
      <c r="G53" t="s">
        <v>376</v>
      </c>
      <c r="H53" t="s">
        <v>336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workbookViewId="0">
      <pane xSplit="1" ySplit="1" topLeftCell="B2" activePane="bottomRight" state="frozen"/>
      <selection pane="topRight" activeCell="B1" sqref="B1"/>
      <selection pane="bottomLeft" activeCell="A2" sqref="A2"/>
      <selection pane="bottomRight" activeCell="E6" sqref="E6"/>
    </sheetView>
  </sheetViews>
  <sheetFormatPr defaultRowHeight="14.5" x14ac:dyDescent="0.35"/>
  <cols>
    <col min="1" max="1" width="9.81640625" style="32" bestFit="1" customWidth="1"/>
    <col min="2" max="2" width="26" customWidth="1"/>
    <col min="3" max="3" width="8" customWidth="1"/>
    <col min="4" max="4" width="12" customWidth="1"/>
    <col min="5" max="5" width="11.81640625" bestFit="1" customWidth="1"/>
    <col min="6" max="6" width="13.81640625" bestFit="1" customWidth="1"/>
    <col min="7" max="7" width="15.81640625" style="35" customWidth="1"/>
    <col min="8" max="8" width="13.453125" customWidth="1"/>
    <col min="9" max="9" width="9.1796875" customWidth="1"/>
    <col min="10" max="10" width="12.81640625" bestFit="1" customWidth="1"/>
    <col min="11" max="11" width="20.81640625" customWidth="1"/>
    <col min="12" max="12" width="13.81640625" customWidth="1"/>
    <col min="13" max="13" width="26.81640625" customWidth="1"/>
    <col min="14" max="14" width="11.7265625" style="38" bestFit="1" customWidth="1"/>
    <col min="15" max="15" width="10.453125" customWidth="1"/>
    <col min="16" max="16" width="10.26953125" bestFit="1" customWidth="1"/>
    <col min="17" max="17" width="16" customWidth="1"/>
    <col min="18" max="18" width="18.81640625" customWidth="1"/>
    <col min="19" max="19" width="13.54296875" style="41" customWidth="1"/>
  </cols>
  <sheetData>
    <row r="1" spans="1:19" s="1" customFormat="1" x14ac:dyDescent="0.35">
      <c r="A1" s="30" t="s">
        <v>222</v>
      </c>
      <c r="B1" s="6" t="s">
        <v>221</v>
      </c>
      <c r="C1" s="5" t="s">
        <v>0</v>
      </c>
      <c r="D1" s="5" t="s">
        <v>1</v>
      </c>
      <c r="E1" s="5" t="s">
        <v>2</v>
      </c>
      <c r="F1" s="5" t="s">
        <v>3</v>
      </c>
      <c r="G1" s="33" t="s">
        <v>4</v>
      </c>
      <c r="H1" s="5" t="s">
        <v>5</v>
      </c>
      <c r="I1" s="5" t="s">
        <v>170</v>
      </c>
      <c r="J1" s="5" t="s">
        <v>137</v>
      </c>
      <c r="K1" s="5" t="s">
        <v>228</v>
      </c>
      <c r="L1" s="5" t="s">
        <v>136</v>
      </c>
      <c r="M1" s="5" t="s">
        <v>233</v>
      </c>
      <c r="N1" s="36" t="s">
        <v>246</v>
      </c>
      <c r="O1" s="5" t="s">
        <v>207</v>
      </c>
      <c r="P1" s="5" t="s">
        <v>208</v>
      </c>
      <c r="Q1" s="5" t="s">
        <v>238</v>
      </c>
      <c r="R1" s="5" t="s">
        <v>172</v>
      </c>
      <c r="S1" s="39" t="s">
        <v>239</v>
      </c>
    </row>
    <row r="2" spans="1:19" x14ac:dyDescent="0.35">
      <c r="A2" s="31">
        <v>1</v>
      </c>
      <c r="B2" s="3" t="str">
        <f>UPPER(_xlfn.CONCAT(C2," ",D2," ",F2))</f>
        <v>MS. ANNIE ABBOTT</v>
      </c>
      <c r="C2" s="3" t="s">
        <v>6</v>
      </c>
      <c r="D2" s="3" t="s">
        <v>7</v>
      </c>
      <c r="E2" s="3"/>
      <c r="F2" s="3" t="s">
        <v>8</v>
      </c>
      <c r="G2" s="34">
        <v>35699</v>
      </c>
      <c r="H2" s="3" t="s">
        <v>9</v>
      </c>
      <c r="I2" s="3" t="s">
        <v>138</v>
      </c>
      <c r="J2" s="4" t="s">
        <v>141</v>
      </c>
      <c r="K2" s="2" t="str">
        <f>HLOOKUP($J2,LOCATION!$A$2:$M$3,2,FALSE)</f>
        <v>USA</v>
      </c>
      <c r="L2" s="4" t="str">
        <f>_xlfn.XLOOKUP($J2,LOCATION!$A$2:$M$2,LOCATION!$A$1:$M$1," ",0,1)</f>
        <v>English</v>
      </c>
      <c r="M2" s="4" t="str">
        <f>LOWER(_xlfn.CONCAT(F2,".",D2,"@xyz",IF(L2="English",".org",".com")))</f>
        <v>abbott.annie@xyz.org</v>
      </c>
      <c r="N2" s="37">
        <v>94</v>
      </c>
      <c r="O2" s="3" t="s">
        <v>209</v>
      </c>
      <c r="P2" s="3" t="s">
        <v>210</v>
      </c>
      <c r="Q2" s="3" t="str">
        <f>INDEX(SPORT!$A$1:$B$33,MATCH($R2,SPORT!$B$1:$B$33,0),1)</f>
        <v>INDOOR</v>
      </c>
      <c r="R2" s="3" t="s">
        <v>174</v>
      </c>
      <c r="S2" s="40">
        <v>80727</v>
      </c>
    </row>
    <row r="3" spans="1:19" x14ac:dyDescent="0.35">
      <c r="A3" s="31">
        <v>2</v>
      </c>
      <c r="B3" s="3" t="str">
        <f t="shared" ref="B3:B51" si="0">UPPER(_xlfn.CONCAT(C3," ",D3," ",F3))</f>
        <v>MS. AURELIE LIESUCHKE</v>
      </c>
      <c r="C3" s="2" t="s">
        <v>6</v>
      </c>
      <c r="D3" s="2" t="s">
        <v>10</v>
      </c>
      <c r="E3" s="2"/>
      <c r="F3" s="2" t="s">
        <v>11</v>
      </c>
      <c r="G3" s="34">
        <v>33641</v>
      </c>
      <c r="H3" s="2" t="s">
        <v>12</v>
      </c>
      <c r="I3" s="2" t="s">
        <v>138</v>
      </c>
      <c r="J3" s="4" t="s">
        <v>141</v>
      </c>
      <c r="K3" s="2" t="str">
        <f>HLOOKUP($J3,LOCATION!$A$2:$M$3,2,FALSE)</f>
        <v>USA</v>
      </c>
      <c r="L3" s="4" t="str">
        <f>_xlfn.XLOOKUP($J3,LOCATION!$A$2:$M$2,LOCATION!$A$1:$M$1," ",0,1)</f>
        <v>English</v>
      </c>
      <c r="M3" s="4" t="str">
        <f t="shared" ref="M3:M51" si="1">LOWER(_xlfn.CONCAT(F3,".",D3,"@xyz",IF(L3="English",".org",".com")))</f>
        <v>liesuchke.aurelie@xyz.org</v>
      </c>
      <c r="N3" s="37">
        <v>84.2</v>
      </c>
      <c r="O3" s="2" t="s">
        <v>211</v>
      </c>
      <c r="P3" s="2" t="s">
        <v>212</v>
      </c>
      <c r="Q3" s="3" t="str">
        <f>INDEX(SPORT!$A$1:$B$33,MATCH($R3,SPORT!$B$1:$B$33,0),1)</f>
        <v>INDOOR</v>
      </c>
      <c r="R3" s="2" t="s">
        <v>175</v>
      </c>
      <c r="S3" s="40">
        <v>87471</v>
      </c>
    </row>
    <row r="4" spans="1:19" x14ac:dyDescent="0.35">
      <c r="A4" s="31">
        <v>3</v>
      </c>
      <c r="B4" s="3" t="str">
        <f t="shared" si="0"/>
        <v>SR. TOMAS FILHO</v>
      </c>
      <c r="C4" s="2" t="s">
        <v>13</v>
      </c>
      <c r="D4" s="2" t="s">
        <v>14</v>
      </c>
      <c r="E4" s="2" t="s">
        <v>15</v>
      </c>
      <c r="F4" s="2" t="s">
        <v>16</v>
      </c>
      <c r="G4" s="34">
        <v>25394</v>
      </c>
      <c r="H4" s="2" t="s">
        <v>17</v>
      </c>
      <c r="I4" s="2" t="s">
        <v>142</v>
      </c>
      <c r="J4" s="4" t="s">
        <v>145</v>
      </c>
      <c r="K4" s="2" t="str">
        <f>HLOOKUP($J4,LOCATION!$A$2:$M$3,2,FALSE)</f>
        <v>BRAZIL</v>
      </c>
      <c r="L4" s="4" t="str">
        <f>_xlfn.XLOOKUP($J4,LOCATION!$A$2:$M$2,LOCATION!$A$1:$M$1," ",0,1)</f>
        <v>Portuguese</v>
      </c>
      <c r="M4" s="4" t="str">
        <f t="shared" si="1"/>
        <v>filho.tomas@xyz.com</v>
      </c>
      <c r="N4" s="37">
        <v>52.9</v>
      </c>
      <c r="O4" s="2" t="s">
        <v>213</v>
      </c>
      <c r="P4" s="2" t="s">
        <v>210</v>
      </c>
      <c r="Q4" s="3" t="str">
        <f>INDEX(SPORT!$A$1:$B$33,MATCH($R4,SPORT!$B$1:$B$33,0),1)</f>
        <v>OUTDOOR</v>
      </c>
      <c r="R4" s="2" t="s">
        <v>177</v>
      </c>
      <c r="S4" s="40">
        <v>64724</v>
      </c>
    </row>
    <row r="5" spans="1:19" x14ac:dyDescent="0.35">
      <c r="A5" s="31">
        <v>4</v>
      </c>
      <c r="B5" s="3" t="str">
        <f t="shared" si="0"/>
        <v>MS. DARBY CRUICKSHANK</v>
      </c>
      <c r="C5" s="2" t="s">
        <v>6</v>
      </c>
      <c r="D5" s="2" t="s">
        <v>18</v>
      </c>
      <c r="E5" s="2"/>
      <c r="F5" s="2" t="s">
        <v>19</v>
      </c>
      <c r="G5" s="34">
        <v>27532</v>
      </c>
      <c r="H5" s="2" t="s">
        <v>20</v>
      </c>
      <c r="I5" s="2" t="s">
        <v>138</v>
      </c>
      <c r="J5" s="4" t="s">
        <v>141</v>
      </c>
      <c r="K5" s="2" t="str">
        <f>HLOOKUP($J5,LOCATION!$A$2:$M$3,2,FALSE)</f>
        <v>USA</v>
      </c>
      <c r="L5" s="4" t="str">
        <f>_xlfn.XLOOKUP($J5,LOCATION!$A$2:$M$2,LOCATION!$A$1:$M$1," ",0,1)</f>
        <v>English</v>
      </c>
      <c r="M5" s="4" t="str">
        <f t="shared" si="1"/>
        <v>cruickshank.darby@xyz.org</v>
      </c>
      <c r="N5" s="37">
        <v>48.9</v>
      </c>
      <c r="O5" s="2" t="s">
        <v>209</v>
      </c>
      <c r="P5" s="2" t="s">
        <v>212</v>
      </c>
      <c r="Q5" s="3" t="str">
        <f>INDEX(SPORT!$A$1:$B$33,MATCH($R5,SPORT!$B$1:$B$33,0),1)</f>
        <v>OUTDOOR</v>
      </c>
      <c r="R5" s="2" t="s">
        <v>178</v>
      </c>
      <c r="S5" s="40">
        <v>110823</v>
      </c>
    </row>
    <row r="6" spans="1:19" x14ac:dyDescent="0.35">
      <c r="A6" s="31">
        <v>5</v>
      </c>
      <c r="B6" s="3" t="str">
        <f t="shared" si="0"/>
        <v>DR. JAYDON BORER</v>
      </c>
      <c r="C6" s="2" t="s">
        <v>21</v>
      </c>
      <c r="D6" s="2" t="s">
        <v>22</v>
      </c>
      <c r="E6" s="2"/>
      <c r="F6" s="2" t="s">
        <v>23</v>
      </c>
      <c r="G6" s="34">
        <v>25706</v>
      </c>
      <c r="H6" s="2" t="s">
        <v>20</v>
      </c>
      <c r="I6" s="2" t="s">
        <v>142</v>
      </c>
      <c r="J6" s="4" t="s">
        <v>141</v>
      </c>
      <c r="K6" s="2" t="str">
        <f>HLOOKUP($J6,LOCATION!$A$2:$M$3,2,FALSE)</f>
        <v>USA</v>
      </c>
      <c r="L6" s="4" t="str">
        <f>_xlfn.XLOOKUP($J6,LOCATION!$A$2:$M$2,LOCATION!$A$1:$M$1," ",0,1)</f>
        <v>English</v>
      </c>
      <c r="M6" s="4" t="str">
        <f t="shared" si="1"/>
        <v>borer.jaydon@xyz.org</v>
      </c>
      <c r="N6" s="37">
        <v>84.8</v>
      </c>
      <c r="O6" s="2" t="s">
        <v>214</v>
      </c>
      <c r="P6" s="2" t="s">
        <v>215</v>
      </c>
      <c r="Q6" s="3" t="str">
        <f>INDEX(SPORT!$A$1:$B$33,MATCH($R6,SPORT!$B$1:$B$33,0),1)</f>
        <v>INDOOR</v>
      </c>
      <c r="R6" s="2" t="s">
        <v>179</v>
      </c>
      <c r="S6" s="40">
        <v>56916</v>
      </c>
    </row>
    <row r="7" spans="1:19" x14ac:dyDescent="0.35">
      <c r="A7" s="31">
        <v>6</v>
      </c>
      <c r="B7" s="3" t="str">
        <f t="shared" si="0"/>
        <v>MR. MORIAH  LYNCH</v>
      </c>
      <c r="C7" s="2" t="s">
        <v>24</v>
      </c>
      <c r="D7" s="2" t="s">
        <v>25</v>
      </c>
      <c r="E7" s="2"/>
      <c r="F7" s="2" t="s">
        <v>26</v>
      </c>
      <c r="G7" s="34">
        <v>33944</v>
      </c>
      <c r="H7" s="2" t="s">
        <v>27</v>
      </c>
      <c r="I7" s="2" t="s">
        <v>142</v>
      </c>
      <c r="J7" s="4" t="s">
        <v>141</v>
      </c>
      <c r="K7" s="2" t="str">
        <f>HLOOKUP($J7,LOCATION!$A$2:$M$3,2,FALSE)</f>
        <v>USA</v>
      </c>
      <c r="L7" s="4" t="str">
        <f>_xlfn.XLOOKUP($J7,LOCATION!$A$2:$M$2,LOCATION!$A$1:$M$1," ",0,1)</f>
        <v>English</v>
      </c>
      <c r="M7" s="4" t="str">
        <f t="shared" si="1"/>
        <v>lynch.moriah @xyz.org</v>
      </c>
      <c r="N7" s="37">
        <v>83.2</v>
      </c>
      <c r="O7" s="2" t="s">
        <v>214</v>
      </c>
      <c r="P7" s="2" t="s">
        <v>212</v>
      </c>
      <c r="Q7" s="3" t="str">
        <f>INDEX(SPORT!$A$1:$B$33,MATCH($R7,SPORT!$B$1:$B$33,0),1)</f>
        <v>INDOOR</v>
      </c>
      <c r="R7" s="2" t="s">
        <v>180</v>
      </c>
      <c r="S7" s="40">
        <v>51133</v>
      </c>
    </row>
    <row r="8" spans="1:19" x14ac:dyDescent="0.35">
      <c r="A8" s="31">
        <v>7</v>
      </c>
      <c r="B8" s="3" t="str">
        <f t="shared" si="0"/>
        <v>MS. AMIYA EICHMANN</v>
      </c>
      <c r="C8" s="2" t="s">
        <v>6</v>
      </c>
      <c r="D8" s="2" t="s">
        <v>28</v>
      </c>
      <c r="E8" s="2"/>
      <c r="F8" s="2" t="s">
        <v>29</v>
      </c>
      <c r="G8" s="34">
        <v>36370</v>
      </c>
      <c r="H8" s="2" t="s">
        <v>30</v>
      </c>
      <c r="I8" s="2" t="s">
        <v>138</v>
      </c>
      <c r="J8" s="4" t="s">
        <v>141</v>
      </c>
      <c r="K8" s="2" t="str">
        <f>HLOOKUP($J8,LOCATION!$A$2:$M$3,2,FALSE)</f>
        <v>USA</v>
      </c>
      <c r="L8" s="4" t="str">
        <f>_xlfn.XLOOKUP($J8,LOCATION!$A$2:$M$2,LOCATION!$A$1:$M$1," ",0,1)</f>
        <v>English</v>
      </c>
      <c r="M8" s="4" t="str">
        <f t="shared" si="1"/>
        <v>eichmann.amiya@xyz.org</v>
      </c>
      <c r="N8" s="37">
        <v>61.1</v>
      </c>
      <c r="O8" s="2" t="s">
        <v>214</v>
      </c>
      <c r="P8" s="2" t="s">
        <v>215</v>
      </c>
      <c r="Q8" s="3" t="str">
        <f>INDEX(SPORT!$A$1:$B$33,MATCH($R8,SPORT!$B$1:$B$33,0),1)</f>
        <v>OUTDOOR</v>
      </c>
      <c r="R8" s="2" t="s">
        <v>181</v>
      </c>
      <c r="S8" s="40">
        <v>65465</v>
      </c>
    </row>
    <row r="9" spans="1:19" x14ac:dyDescent="0.35">
      <c r="A9" s="31">
        <v>8</v>
      </c>
      <c r="B9" s="3" t="str">
        <f t="shared" si="0"/>
        <v>MR. PIERCE RAU</v>
      </c>
      <c r="C9" s="2" t="s">
        <v>24</v>
      </c>
      <c r="D9" s="2" t="s">
        <v>31</v>
      </c>
      <c r="E9" s="2"/>
      <c r="F9" s="2" t="s">
        <v>32</v>
      </c>
      <c r="G9" s="34">
        <v>23141</v>
      </c>
      <c r="H9" s="2" t="s">
        <v>20</v>
      </c>
      <c r="I9" s="2" t="s">
        <v>142</v>
      </c>
      <c r="J9" s="4" t="s">
        <v>141</v>
      </c>
      <c r="K9" s="2" t="str">
        <f>HLOOKUP($J9,LOCATION!$A$2:$M$3,2,FALSE)</f>
        <v>USA</v>
      </c>
      <c r="L9" s="4" t="str">
        <f>_xlfn.XLOOKUP($J9,LOCATION!$A$2:$M$2,LOCATION!$A$1:$M$1," ",0,1)</f>
        <v>English</v>
      </c>
      <c r="M9" s="4" t="str">
        <f t="shared" si="1"/>
        <v>rau.pierce@xyz.org</v>
      </c>
      <c r="N9" s="37">
        <v>105.7</v>
      </c>
      <c r="O9" s="2" t="s">
        <v>213</v>
      </c>
      <c r="P9" s="2" t="s">
        <v>216</v>
      </c>
      <c r="Q9" s="3" t="str">
        <f>INDEX(SPORT!$A$1:$B$33,MATCH($R9,SPORT!$B$1:$B$33,0),1)</f>
        <v>INDOOR</v>
      </c>
      <c r="R9" s="2" t="s">
        <v>182</v>
      </c>
      <c r="S9" s="40">
        <v>109885</v>
      </c>
    </row>
    <row r="10" spans="1:19" x14ac:dyDescent="0.35">
      <c r="A10" s="31">
        <v>9</v>
      </c>
      <c r="B10" s="3" t="str">
        <f t="shared" si="0"/>
        <v>MS. AMELIA STEVENS</v>
      </c>
      <c r="C10" s="2" t="s">
        <v>6</v>
      </c>
      <c r="D10" s="2" t="s">
        <v>33</v>
      </c>
      <c r="E10" s="2"/>
      <c r="F10" s="2" t="s">
        <v>34</v>
      </c>
      <c r="G10" s="34">
        <v>25965</v>
      </c>
      <c r="H10" s="2" t="s">
        <v>12</v>
      </c>
      <c r="I10" s="2" t="s">
        <v>138</v>
      </c>
      <c r="J10" s="4" t="s">
        <v>147</v>
      </c>
      <c r="K10" s="2" t="str">
        <f>HLOOKUP($J10,LOCATION!$A$2:$M$3,2,FALSE)</f>
        <v>UK</v>
      </c>
      <c r="L10" s="4" t="str">
        <f>_xlfn.XLOOKUP($J10,LOCATION!$A$2:$M$2,LOCATION!$A$1:$M$1," ",0,1)</f>
        <v>English</v>
      </c>
      <c r="M10" s="4" t="str">
        <f t="shared" si="1"/>
        <v>stevens.amelia@xyz.org</v>
      </c>
      <c r="N10" s="37">
        <v>65.3</v>
      </c>
      <c r="O10" s="2" t="s">
        <v>214</v>
      </c>
      <c r="P10" s="2" t="s">
        <v>216</v>
      </c>
      <c r="Q10" s="3" t="str">
        <f>INDEX(SPORT!$A$1:$B$33,MATCH($R10,SPORT!$B$1:$B$33,0),1)</f>
        <v>INDOOR</v>
      </c>
      <c r="R10" s="2" t="s">
        <v>183</v>
      </c>
      <c r="S10" s="40">
        <v>60061</v>
      </c>
    </row>
    <row r="11" spans="1:19" x14ac:dyDescent="0.35">
      <c r="A11" s="31">
        <v>10</v>
      </c>
      <c r="B11" s="3" t="str">
        <f t="shared" si="0"/>
        <v>MR. TOBY SIMPSON</v>
      </c>
      <c r="C11" s="2" t="s">
        <v>24</v>
      </c>
      <c r="D11" s="2" t="s">
        <v>35</v>
      </c>
      <c r="E11" s="2"/>
      <c r="F11" s="2" t="s">
        <v>36</v>
      </c>
      <c r="G11" s="34">
        <v>23732</v>
      </c>
      <c r="H11" s="2" t="s">
        <v>27</v>
      </c>
      <c r="I11" s="2" t="s">
        <v>142</v>
      </c>
      <c r="J11" s="4" t="s">
        <v>147</v>
      </c>
      <c r="K11" s="2" t="str">
        <f>HLOOKUP($J11,LOCATION!$A$2:$M$3,2,FALSE)</f>
        <v>UK</v>
      </c>
      <c r="L11" s="4" t="str">
        <f>_xlfn.XLOOKUP($J11,LOCATION!$A$2:$M$2,LOCATION!$A$1:$M$1," ",0,1)</f>
        <v>English</v>
      </c>
      <c r="M11" s="4" t="str">
        <f t="shared" si="1"/>
        <v>simpson.toby@xyz.org</v>
      </c>
      <c r="N11" s="37">
        <v>62.9</v>
      </c>
      <c r="O11" s="2" t="s">
        <v>213</v>
      </c>
      <c r="P11" s="2" t="s">
        <v>217</v>
      </c>
      <c r="Q11" s="3" t="str">
        <f>INDEX(SPORT!$A$1:$B$33,MATCH($R11,SPORT!$B$1:$B$33,0),1)</f>
        <v>OUTDOOR</v>
      </c>
      <c r="R11" s="2" t="s">
        <v>181</v>
      </c>
      <c r="S11" s="40">
        <v>32758</v>
      </c>
    </row>
    <row r="12" spans="1:19" x14ac:dyDescent="0.35">
      <c r="A12" s="31">
        <v>11</v>
      </c>
      <c r="B12" s="3" t="str">
        <f t="shared" si="0"/>
        <v>SIR ETHAN MURPHY</v>
      </c>
      <c r="C12" s="2" t="s">
        <v>37</v>
      </c>
      <c r="D12" s="2" t="s">
        <v>38</v>
      </c>
      <c r="E12" s="2"/>
      <c r="F12" s="2" t="s">
        <v>39</v>
      </c>
      <c r="G12" s="34">
        <v>31733</v>
      </c>
      <c r="H12" s="2" t="s">
        <v>40</v>
      </c>
      <c r="I12" s="2" t="s">
        <v>142</v>
      </c>
      <c r="J12" s="4" t="s">
        <v>147</v>
      </c>
      <c r="K12" s="2" t="str">
        <f>HLOOKUP($J12,LOCATION!$A$2:$M$3,2,FALSE)</f>
        <v>UK</v>
      </c>
      <c r="L12" s="4" t="str">
        <f>_xlfn.XLOOKUP($J12,LOCATION!$A$2:$M$2,LOCATION!$A$1:$M$1," ",0,1)</f>
        <v>English</v>
      </c>
      <c r="M12" s="4" t="str">
        <f t="shared" si="1"/>
        <v>murphy.ethan@xyz.org</v>
      </c>
      <c r="N12" s="37">
        <v>104.3</v>
      </c>
      <c r="O12" s="2" t="s">
        <v>211</v>
      </c>
      <c r="P12" s="2" t="s">
        <v>217</v>
      </c>
      <c r="Q12" s="3" t="str">
        <f>INDEX(SPORT!$A$1:$B$33,MATCH($R12,SPORT!$B$1:$B$33,0),1)</f>
        <v>OUTDOOR</v>
      </c>
      <c r="R12" s="2" t="s">
        <v>184</v>
      </c>
      <c r="S12" s="40">
        <v>99613</v>
      </c>
    </row>
    <row r="13" spans="1:19" x14ac:dyDescent="0.35">
      <c r="A13" s="31">
        <v>12</v>
      </c>
      <c r="B13" s="3" t="str">
        <f t="shared" si="0"/>
        <v>MRS. ASHLEY WOOD</v>
      </c>
      <c r="C13" s="2" t="s">
        <v>41</v>
      </c>
      <c r="D13" s="2" t="s">
        <v>42</v>
      </c>
      <c r="E13" s="2"/>
      <c r="F13" s="2" t="s">
        <v>43</v>
      </c>
      <c r="G13" s="34">
        <v>28412</v>
      </c>
      <c r="H13" s="2" t="s">
        <v>9</v>
      </c>
      <c r="I13" s="2" t="s">
        <v>138</v>
      </c>
      <c r="J13" s="4" t="s">
        <v>147</v>
      </c>
      <c r="K13" s="2" t="str">
        <f>HLOOKUP($J13,LOCATION!$A$2:$M$3,2,FALSE)</f>
        <v>UK</v>
      </c>
      <c r="L13" s="4" t="str">
        <f>_xlfn.XLOOKUP($J13,LOCATION!$A$2:$M$2,LOCATION!$A$1:$M$1," ",0,1)</f>
        <v>English</v>
      </c>
      <c r="M13" s="4" t="str">
        <f t="shared" si="1"/>
        <v>wood.ashley@xyz.org</v>
      </c>
      <c r="N13" s="37">
        <v>100.7</v>
      </c>
      <c r="O13" s="2" t="s">
        <v>211</v>
      </c>
      <c r="P13" s="2" t="s">
        <v>217</v>
      </c>
      <c r="Q13" s="3" t="str">
        <f>INDEX(SPORT!$A$1:$B$33,MATCH($R13,SPORT!$B$1:$B$33,0),1)</f>
        <v>OUTDOOR</v>
      </c>
      <c r="R13" s="2" t="s">
        <v>185</v>
      </c>
      <c r="S13" s="40">
        <v>56595</v>
      </c>
    </row>
    <row r="14" spans="1:19" x14ac:dyDescent="0.35">
      <c r="A14" s="31">
        <v>13</v>
      </c>
      <c r="B14" s="3" t="str">
        <f t="shared" si="0"/>
        <v>MS. MEGAN SCOTT</v>
      </c>
      <c r="C14" s="2" t="s">
        <v>6</v>
      </c>
      <c r="D14" s="2" t="s">
        <v>44</v>
      </c>
      <c r="E14" s="2"/>
      <c r="F14" s="2" t="s">
        <v>45</v>
      </c>
      <c r="G14" s="34">
        <v>28168</v>
      </c>
      <c r="H14" s="2" t="s">
        <v>12</v>
      </c>
      <c r="I14" s="2" t="s">
        <v>138</v>
      </c>
      <c r="J14" s="4" t="s">
        <v>147</v>
      </c>
      <c r="K14" s="2" t="str">
        <f>HLOOKUP($J14,LOCATION!$A$2:$M$3,2,FALSE)</f>
        <v>UK</v>
      </c>
      <c r="L14" s="4" t="str">
        <f>_xlfn.XLOOKUP($J14,LOCATION!$A$2:$M$2,LOCATION!$A$1:$M$1," ",0,1)</f>
        <v>English</v>
      </c>
      <c r="M14" s="4" t="str">
        <f t="shared" si="1"/>
        <v>scott.megan@xyz.org</v>
      </c>
      <c r="N14" s="37">
        <v>70.900000000000006</v>
      </c>
      <c r="O14" s="2" t="s">
        <v>209</v>
      </c>
      <c r="P14" s="2" t="s">
        <v>210</v>
      </c>
      <c r="Q14" s="3" t="str">
        <f>INDEX(SPORT!$A$1:$B$33,MATCH($R14,SPORT!$B$1:$B$33,0),1)</f>
        <v>OUTDOOR</v>
      </c>
      <c r="R14" s="2" t="s">
        <v>186</v>
      </c>
      <c r="S14" s="40">
        <v>117408</v>
      </c>
    </row>
    <row r="15" spans="1:19" x14ac:dyDescent="0.35">
      <c r="A15" s="31">
        <v>14</v>
      </c>
      <c r="B15" s="3" t="str">
        <f t="shared" si="0"/>
        <v>HR. HELMUT WEINHAE</v>
      </c>
      <c r="C15" s="2" t="s">
        <v>46</v>
      </c>
      <c r="D15" s="2" t="s">
        <v>47</v>
      </c>
      <c r="E15" s="2"/>
      <c r="F15" s="2" t="s">
        <v>48</v>
      </c>
      <c r="G15" s="34">
        <v>21788</v>
      </c>
      <c r="H15" s="2" t="s">
        <v>49</v>
      </c>
      <c r="I15" s="2" t="s">
        <v>142</v>
      </c>
      <c r="J15" s="4" t="s">
        <v>150</v>
      </c>
      <c r="K15" s="2" t="str">
        <f>HLOOKUP($J15,LOCATION!$A$2:$M$3,2,FALSE)</f>
        <v>GERMANY</v>
      </c>
      <c r="L15" s="4" t="str">
        <f>_xlfn.XLOOKUP($J15,LOCATION!$A$2:$M$2,LOCATION!$A$1:$M$1," ",0,1)</f>
        <v>German</v>
      </c>
      <c r="M15" s="4" t="str">
        <f t="shared" si="1"/>
        <v>weinhae.helmut@xyz.com</v>
      </c>
      <c r="N15" s="37">
        <v>68.3</v>
      </c>
      <c r="O15" s="2" t="s">
        <v>218</v>
      </c>
      <c r="P15" s="2" t="s">
        <v>216</v>
      </c>
      <c r="Q15" s="3" t="str">
        <f>INDEX(SPORT!$A$1:$B$33,MATCH($R15,SPORT!$B$1:$B$33,0),1)</f>
        <v>OUTDOOR</v>
      </c>
      <c r="R15" s="2" t="s">
        <v>187</v>
      </c>
      <c r="S15" s="40">
        <v>64862</v>
      </c>
    </row>
    <row r="16" spans="1:19" x14ac:dyDescent="0.35">
      <c r="A16" s="31">
        <v>15</v>
      </c>
      <c r="B16" s="3" t="str">
        <f t="shared" si="0"/>
        <v>PROF. MILENA SCHOTIN</v>
      </c>
      <c r="C16" s="2" t="s">
        <v>50</v>
      </c>
      <c r="D16" s="2" t="s">
        <v>51</v>
      </c>
      <c r="E16" s="2"/>
      <c r="F16" s="2" t="s">
        <v>52</v>
      </c>
      <c r="G16" s="34">
        <v>23804</v>
      </c>
      <c r="H16" s="2" t="s">
        <v>53</v>
      </c>
      <c r="I16" s="2" t="s">
        <v>138</v>
      </c>
      <c r="J16" s="4" t="s">
        <v>150</v>
      </c>
      <c r="K16" s="2" t="str">
        <f>HLOOKUP($J16,LOCATION!$A$2:$M$3,2,FALSE)</f>
        <v>GERMANY</v>
      </c>
      <c r="L16" s="4" t="str">
        <f>_xlfn.XLOOKUP($J16,LOCATION!$A$2:$M$2,LOCATION!$A$1:$M$1," ",0,1)</f>
        <v>German</v>
      </c>
      <c r="M16" s="4" t="str">
        <f t="shared" si="1"/>
        <v>schotin.milena@xyz.com</v>
      </c>
      <c r="N16" s="37">
        <v>105.3</v>
      </c>
      <c r="O16" s="2" t="s">
        <v>218</v>
      </c>
      <c r="P16" s="2" t="s">
        <v>217</v>
      </c>
      <c r="Q16" s="3" t="str">
        <f>INDEX(SPORT!$A$1:$B$33,MATCH($R16,SPORT!$B$1:$B$33,0),1)</f>
        <v>INDOOR</v>
      </c>
      <c r="R16" s="2" t="s">
        <v>188</v>
      </c>
      <c r="S16" s="40">
        <v>10241</v>
      </c>
    </row>
    <row r="17" spans="1:19" x14ac:dyDescent="0.35">
      <c r="A17" s="31">
        <v>16</v>
      </c>
      <c r="B17" s="3" t="str">
        <f t="shared" si="0"/>
        <v>HR. LOTHAR BIRNBAUM</v>
      </c>
      <c r="C17" s="2" t="s">
        <v>46</v>
      </c>
      <c r="D17" s="2" t="s">
        <v>54</v>
      </c>
      <c r="E17" s="2"/>
      <c r="F17" s="2" t="s">
        <v>55</v>
      </c>
      <c r="G17" s="34">
        <v>25405</v>
      </c>
      <c r="H17" s="2" t="s">
        <v>17</v>
      </c>
      <c r="I17" s="2" t="s">
        <v>142</v>
      </c>
      <c r="J17" s="4" t="s">
        <v>150</v>
      </c>
      <c r="K17" s="2" t="str">
        <f>HLOOKUP($J17,LOCATION!$A$2:$M$3,2,FALSE)</f>
        <v>GERMANY</v>
      </c>
      <c r="L17" s="4" t="str">
        <f>_xlfn.XLOOKUP($J17,LOCATION!$A$2:$M$2,LOCATION!$A$1:$M$1," ",0,1)</f>
        <v>German</v>
      </c>
      <c r="M17" s="4" t="str">
        <f t="shared" si="1"/>
        <v>birnbaum.lothar@xyz.com</v>
      </c>
      <c r="N17" s="37">
        <v>48.6</v>
      </c>
      <c r="O17" s="2" t="s">
        <v>214</v>
      </c>
      <c r="P17" s="2" t="s">
        <v>217</v>
      </c>
      <c r="Q17" s="3" t="str">
        <f>INDEX(SPORT!$A$1:$B$33,MATCH($R17,SPORT!$B$1:$B$33,0),1)</f>
        <v>OUTDOOR</v>
      </c>
      <c r="R17" s="2" t="s">
        <v>178</v>
      </c>
      <c r="S17" s="40">
        <v>88762</v>
      </c>
    </row>
    <row r="18" spans="1:19" x14ac:dyDescent="0.35">
      <c r="A18" s="31">
        <v>17</v>
      </c>
      <c r="B18" s="3" t="str">
        <f t="shared" si="0"/>
        <v>HR. PIETRO STOLZE</v>
      </c>
      <c r="C18" s="2" t="s">
        <v>46</v>
      </c>
      <c r="D18" s="2" t="s">
        <v>56</v>
      </c>
      <c r="E18" s="2"/>
      <c r="F18" s="2" t="s">
        <v>57</v>
      </c>
      <c r="G18" s="34">
        <v>26582</v>
      </c>
      <c r="H18" s="2" t="s">
        <v>9</v>
      </c>
      <c r="I18" s="2" t="s">
        <v>142</v>
      </c>
      <c r="J18" s="4" t="s">
        <v>150</v>
      </c>
      <c r="K18" s="2" t="str">
        <f>HLOOKUP($J18,LOCATION!$A$2:$M$3,2,FALSE)</f>
        <v>GERMANY</v>
      </c>
      <c r="L18" s="4" t="str">
        <f>_xlfn.XLOOKUP($J18,LOCATION!$A$2:$M$2,LOCATION!$A$1:$M$1," ",0,1)</f>
        <v>German</v>
      </c>
      <c r="M18" s="4" t="str">
        <f t="shared" si="1"/>
        <v>stolze.pietro@xyz.com</v>
      </c>
      <c r="N18" s="37">
        <v>105.9</v>
      </c>
      <c r="O18" s="2" t="s">
        <v>214</v>
      </c>
      <c r="P18" s="2" t="s">
        <v>210</v>
      </c>
      <c r="Q18" s="3" t="str">
        <f>INDEX(SPORT!$A$1:$B$33,MATCH($R18,SPORT!$B$1:$B$33,0),1)</f>
        <v>INDOOR</v>
      </c>
      <c r="R18" s="2" t="s">
        <v>189</v>
      </c>
      <c r="S18" s="40">
        <v>80757</v>
      </c>
    </row>
    <row r="19" spans="1:19" x14ac:dyDescent="0.35">
      <c r="A19" s="31">
        <v>18</v>
      </c>
      <c r="B19" s="3" t="str">
        <f t="shared" si="0"/>
        <v>HR. RICHARD  TLUSTEK</v>
      </c>
      <c r="C19" s="2" t="s">
        <v>46</v>
      </c>
      <c r="D19" s="2" t="s">
        <v>58</v>
      </c>
      <c r="E19" s="2"/>
      <c r="F19" s="2" t="s">
        <v>59</v>
      </c>
      <c r="G19" s="34">
        <v>21793</v>
      </c>
      <c r="H19" s="2" t="s">
        <v>49</v>
      </c>
      <c r="I19" s="2" t="s">
        <v>142</v>
      </c>
      <c r="J19" s="4" t="s">
        <v>150</v>
      </c>
      <c r="K19" s="2" t="str">
        <f>HLOOKUP($J19,LOCATION!$A$2:$M$3,2,FALSE)</f>
        <v>GERMANY</v>
      </c>
      <c r="L19" s="4" t="str">
        <f>_xlfn.XLOOKUP($J19,LOCATION!$A$2:$M$2,LOCATION!$A$1:$M$1," ",0,1)</f>
        <v>German</v>
      </c>
      <c r="M19" s="4" t="str">
        <f t="shared" si="1"/>
        <v>tlustek.richard @xyz.com</v>
      </c>
      <c r="N19" s="37">
        <v>71.099999999999994</v>
      </c>
      <c r="O19" s="2" t="s">
        <v>214</v>
      </c>
      <c r="P19" s="2" t="s">
        <v>210</v>
      </c>
      <c r="Q19" s="3" t="str">
        <f>INDEX(SPORT!$A$1:$B$33,MATCH($R19,SPORT!$B$1:$B$33,0),1)</f>
        <v>OUTDOOR</v>
      </c>
      <c r="R19" s="2" t="s">
        <v>190</v>
      </c>
      <c r="S19" s="40">
        <v>88794</v>
      </c>
    </row>
    <row r="20" spans="1:19" x14ac:dyDescent="0.35">
      <c r="A20" s="31">
        <v>19</v>
      </c>
      <c r="B20" s="3" t="str">
        <f t="shared" si="0"/>
        <v>DR. EARNESTINE RAYNOR</v>
      </c>
      <c r="C20" s="2" t="s">
        <v>21</v>
      </c>
      <c r="D20" s="2" t="s">
        <v>60</v>
      </c>
      <c r="E20" s="2"/>
      <c r="F20" s="2" t="s">
        <v>61</v>
      </c>
      <c r="G20" s="34">
        <v>28262</v>
      </c>
      <c r="H20" s="2" t="s">
        <v>20</v>
      </c>
      <c r="I20" s="2" t="s">
        <v>138</v>
      </c>
      <c r="J20" s="4" t="s">
        <v>152</v>
      </c>
      <c r="K20" s="2" t="str">
        <f>HLOOKUP($J20,LOCATION!$A$2:$M$3,2,FALSE)</f>
        <v>AUSTRALIA</v>
      </c>
      <c r="L20" s="4" t="str">
        <f>_xlfn.XLOOKUP($J20,LOCATION!$A$2:$M$2,LOCATION!$A$1:$M$1," ",0,1)</f>
        <v>English</v>
      </c>
      <c r="M20" s="4" t="str">
        <f t="shared" si="1"/>
        <v>raynor.earnestine@xyz.org</v>
      </c>
      <c r="N20" s="37">
        <v>70.3</v>
      </c>
      <c r="O20" s="2" t="s">
        <v>214</v>
      </c>
      <c r="P20" s="2" t="s">
        <v>216</v>
      </c>
      <c r="Q20" s="3" t="str">
        <f>INDEX(SPORT!$A$1:$B$33,MATCH($R20,SPORT!$B$1:$B$33,0),1)</f>
        <v>INDOOR</v>
      </c>
      <c r="R20" s="2" t="s">
        <v>191</v>
      </c>
      <c r="S20" s="40">
        <v>63526</v>
      </c>
    </row>
    <row r="21" spans="1:19" x14ac:dyDescent="0.35">
      <c r="A21" s="31">
        <v>20</v>
      </c>
      <c r="B21" s="3" t="str">
        <f t="shared" si="0"/>
        <v>MR. JASON GAYLORD</v>
      </c>
      <c r="C21" s="2" t="s">
        <v>24</v>
      </c>
      <c r="D21" s="2" t="s">
        <v>62</v>
      </c>
      <c r="E21" s="2"/>
      <c r="F21" s="2" t="s">
        <v>63</v>
      </c>
      <c r="G21" s="34">
        <v>27767</v>
      </c>
      <c r="H21" s="2" t="s">
        <v>64</v>
      </c>
      <c r="I21" s="2" t="s">
        <v>142</v>
      </c>
      <c r="J21" s="4" t="s">
        <v>152</v>
      </c>
      <c r="K21" s="2" t="str">
        <f>HLOOKUP($J21,LOCATION!$A$2:$M$3,2,FALSE)</f>
        <v>AUSTRALIA</v>
      </c>
      <c r="L21" s="4" t="str">
        <f>_xlfn.XLOOKUP($J21,LOCATION!$A$2:$M$2,LOCATION!$A$1:$M$1," ",0,1)</f>
        <v>English</v>
      </c>
      <c r="M21" s="4" t="str">
        <f t="shared" si="1"/>
        <v>gaylord.jason@xyz.org</v>
      </c>
      <c r="N21" s="37">
        <v>54.7</v>
      </c>
      <c r="O21" s="2" t="s">
        <v>211</v>
      </c>
      <c r="P21" s="2" t="s">
        <v>212</v>
      </c>
      <c r="Q21" s="3" t="str">
        <f>INDEX(SPORT!$A$1:$B$33,MATCH($R21,SPORT!$B$1:$B$33,0),1)</f>
        <v>INDOOR</v>
      </c>
      <c r="R21" s="2" t="s">
        <v>192</v>
      </c>
      <c r="S21" s="40">
        <v>46352</v>
      </c>
    </row>
    <row r="22" spans="1:19" x14ac:dyDescent="0.35">
      <c r="A22" s="31">
        <v>21</v>
      </c>
      <c r="B22" s="3" t="str">
        <f t="shared" si="0"/>
        <v>MR. KENDRICK SAUER</v>
      </c>
      <c r="C22" s="2" t="s">
        <v>24</v>
      </c>
      <c r="D22" s="2" t="s">
        <v>65</v>
      </c>
      <c r="E22" s="2"/>
      <c r="F22" s="2" t="s">
        <v>66</v>
      </c>
      <c r="G22" s="34">
        <v>35268</v>
      </c>
      <c r="H22" s="2" t="s">
        <v>17</v>
      </c>
      <c r="I22" s="2" t="s">
        <v>142</v>
      </c>
      <c r="J22" s="4" t="s">
        <v>152</v>
      </c>
      <c r="K22" s="2" t="str">
        <f>HLOOKUP($J22,LOCATION!$A$2:$M$3,2,FALSE)</f>
        <v>AUSTRALIA</v>
      </c>
      <c r="L22" s="4" t="str">
        <f>_xlfn.XLOOKUP($J22,LOCATION!$A$2:$M$2,LOCATION!$A$1:$M$1," ",0,1)</f>
        <v>English</v>
      </c>
      <c r="M22" s="4" t="str">
        <f t="shared" si="1"/>
        <v>sauer.kendrick@xyz.org</v>
      </c>
      <c r="N22" s="37">
        <v>100.9</v>
      </c>
      <c r="O22" s="2" t="s">
        <v>214</v>
      </c>
      <c r="P22" s="2" t="s">
        <v>215</v>
      </c>
      <c r="Q22" s="3" t="str">
        <f>INDEX(SPORT!$A$1:$B$33,MATCH($R22,SPORT!$B$1:$B$33,0),1)</f>
        <v>OUTDOOR</v>
      </c>
      <c r="R22" s="2" t="s">
        <v>193</v>
      </c>
      <c r="S22" s="40">
        <v>106808</v>
      </c>
    </row>
    <row r="23" spans="1:19" x14ac:dyDescent="0.35">
      <c r="A23" s="31">
        <v>22</v>
      </c>
      <c r="B23" s="3" t="str">
        <f t="shared" si="0"/>
        <v>DR. ANNABELL OLSON</v>
      </c>
      <c r="C23" s="2" t="s">
        <v>21</v>
      </c>
      <c r="D23" s="2" t="s">
        <v>67</v>
      </c>
      <c r="E23" s="2"/>
      <c r="F23" s="2" t="s">
        <v>68</v>
      </c>
      <c r="G23" s="34">
        <v>23483</v>
      </c>
      <c r="H23" s="2" t="s">
        <v>69</v>
      </c>
      <c r="I23" s="2" t="s">
        <v>138</v>
      </c>
      <c r="J23" s="4" t="s">
        <v>152</v>
      </c>
      <c r="K23" s="2" t="str">
        <f>HLOOKUP($J23,LOCATION!$A$2:$M$3,2,FALSE)</f>
        <v>AUSTRALIA</v>
      </c>
      <c r="L23" s="4" t="str">
        <f>_xlfn.XLOOKUP($J23,LOCATION!$A$2:$M$2,LOCATION!$A$1:$M$1," ",0,1)</f>
        <v>English</v>
      </c>
      <c r="M23" s="4" t="str">
        <f t="shared" si="1"/>
        <v>olson.annabell@xyz.org</v>
      </c>
      <c r="N23" s="37">
        <v>84.3</v>
      </c>
      <c r="O23" s="2" t="s">
        <v>209</v>
      </c>
      <c r="P23" s="2" t="s">
        <v>216</v>
      </c>
      <c r="Q23" s="3" t="str">
        <f>INDEX(SPORT!$A$1:$B$33,MATCH($R23,SPORT!$B$1:$B$33,0),1)</f>
        <v>OUTDOOR</v>
      </c>
      <c r="R23" s="2" t="s">
        <v>194</v>
      </c>
      <c r="S23" s="40">
        <v>96468</v>
      </c>
    </row>
    <row r="24" spans="1:19" x14ac:dyDescent="0.35">
      <c r="A24" s="31">
        <v>23</v>
      </c>
      <c r="B24" s="3" t="str">
        <f t="shared" si="0"/>
        <v>DR. JENA UPTON</v>
      </c>
      <c r="C24" s="2" t="s">
        <v>21</v>
      </c>
      <c r="D24" s="2" t="s">
        <v>70</v>
      </c>
      <c r="E24" s="2"/>
      <c r="F24" s="2" t="s">
        <v>71</v>
      </c>
      <c r="G24" s="34">
        <v>20437</v>
      </c>
      <c r="H24" s="2" t="s">
        <v>27</v>
      </c>
      <c r="I24" s="2" t="s">
        <v>138</v>
      </c>
      <c r="J24" s="4" t="s">
        <v>152</v>
      </c>
      <c r="K24" s="2" t="str">
        <f>HLOOKUP($J24,LOCATION!$A$2:$M$3,2,FALSE)</f>
        <v>AUSTRALIA</v>
      </c>
      <c r="L24" s="4" t="str">
        <f>_xlfn.XLOOKUP($J24,LOCATION!$A$2:$M$2,LOCATION!$A$1:$M$1," ",0,1)</f>
        <v>English</v>
      </c>
      <c r="M24" s="4" t="str">
        <f t="shared" si="1"/>
        <v>upton.jena@xyz.org</v>
      </c>
      <c r="N24" s="37">
        <v>66.8</v>
      </c>
      <c r="O24" s="2" t="s">
        <v>214</v>
      </c>
      <c r="P24" s="2" t="s">
        <v>217</v>
      </c>
      <c r="Q24" s="3" t="str">
        <f>INDEX(SPORT!$A$1:$B$33,MATCH($R24,SPORT!$B$1:$B$33,0),1)</f>
        <v>OUTDOOR</v>
      </c>
      <c r="R24" s="2" t="s">
        <v>195</v>
      </c>
      <c r="S24" s="40">
        <v>16526</v>
      </c>
    </row>
    <row r="25" spans="1:19" x14ac:dyDescent="0.35">
      <c r="A25" s="31">
        <v>24</v>
      </c>
      <c r="B25" s="3" t="str">
        <f t="shared" si="0"/>
        <v>DR. SHANNY BINS</v>
      </c>
      <c r="C25" s="2" t="s">
        <v>21</v>
      </c>
      <c r="D25" s="2" t="s">
        <v>72</v>
      </c>
      <c r="E25" s="2"/>
      <c r="F25" s="2" t="s">
        <v>73</v>
      </c>
      <c r="G25" s="34">
        <v>36400</v>
      </c>
      <c r="H25" s="2" t="s">
        <v>49</v>
      </c>
      <c r="I25" s="2" t="s">
        <v>138</v>
      </c>
      <c r="J25" s="4" t="s">
        <v>152</v>
      </c>
      <c r="K25" s="2" t="str">
        <f>HLOOKUP($J25,LOCATION!$A$2:$M$3,2,FALSE)</f>
        <v>AUSTRALIA</v>
      </c>
      <c r="L25" s="4" t="str">
        <f>_xlfn.XLOOKUP($J25,LOCATION!$A$2:$M$2,LOCATION!$A$1:$M$1," ",0,1)</f>
        <v>English</v>
      </c>
      <c r="M25" s="4" t="str">
        <f t="shared" si="1"/>
        <v>bins.shanny@xyz.org</v>
      </c>
      <c r="N25" s="37">
        <v>59.4</v>
      </c>
      <c r="O25" s="2" t="s">
        <v>213</v>
      </c>
      <c r="P25" s="2" t="s">
        <v>215</v>
      </c>
      <c r="Q25" s="3" t="str">
        <f>INDEX(SPORT!$A$1:$B$33,MATCH($R25,SPORT!$B$1:$B$33,0),1)</f>
        <v>OUTDOOR</v>
      </c>
      <c r="R25" s="2" t="s">
        <v>196</v>
      </c>
      <c r="S25" s="40">
        <v>21891</v>
      </c>
    </row>
    <row r="26" spans="1:19" x14ac:dyDescent="0.35">
      <c r="A26" s="31">
        <v>25</v>
      </c>
      <c r="B26" s="3" t="str">
        <f t="shared" si="0"/>
        <v>DR. TIA ABSHIRE</v>
      </c>
      <c r="C26" s="2" t="s">
        <v>21</v>
      </c>
      <c r="D26" s="2" t="s">
        <v>74</v>
      </c>
      <c r="E26" s="2"/>
      <c r="F26" s="2" t="s">
        <v>75</v>
      </c>
      <c r="G26" s="34">
        <v>24309</v>
      </c>
      <c r="H26" s="2" t="s">
        <v>17</v>
      </c>
      <c r="I26" s="2" t="s">
        <v>138</v>
      </c>
      <c r="J26" s="4" t="s">
        <v>152</v>
      </c>
      <c r="K26" s="2" t="str">
        <f>HLOOKUP($J26,LOCATION!$A$2:$M$3,2,FALSE)</f>
        <v>AUSTRALIA</v>
      </c>
      <c r="L26" s="4" t="str">
        <f>_xlfn.XLOOKUP($J26,LOCATION!$A$2:$M$2,LOCATION!$A$1:$M$1," ",0,1)</f>
        <v>English</v>
      </c>
      <c r="M26" s="4" t="str">
        <f t="shared" si="1"/>
        <v>abshire.tia@xyz.org</v>
      </c>
      <c r="N26" s="37">
        <v>77.8</v>
      </c>
      <c r="O26" s="2" t="s">
        <v>213</v>
      </c>
      <c r="P26" s="2" t="s">
        <v>216</v>
      </c>
      <c r="Q26" s="3" t="str">
        <f>INDEX(SPORT!$A$1:$B$33,MATCH($R26,SPORT!$B$1:$B$33,0),1)</f>
        <v>OUTDOOR</v>
      </c>
      <c r="R26" s="2" t="s">
        <v>181</v>
      </c>
      <c r="S26" s="40">
        <v>62037</v>
      </c>
    </row>
    <row r="27" spans="1:19" x14ac:dyDescent="0.35">
      <c r="A27" s="31">
        <v>26</v>
      </c>
      <c r="B27" s="3" t="str">
        <f t="shared" si="0"/>
        <v>MS. ISABEL RUNOLFSDOTTIR</v>
      </c>
      <c r="C27" s="2" t="s">
        <v>6</v>
      </c>
      <c r="D27" s="2" t="s">
        <v>76</v>
      </c>
      <c r="E27" s="2"/>
      <c r="F27" s="2" t="s">
        <v>77</v>
      </c>
      <c r="G27" s="34">
        <v>28570</v>
      </c>
      <c r="H27" s="2" t="s">
        <v>69</v>
      </c>
      <c r="I27" s="2" t="s">
        <v>138</v>
      </c>
      <c r="J27" s="4" t="s">
        <v>152</v>
      </c>
      <c r="K27" s="2" t="str">
        <f>HLOOKUP($J27,LOCATION!$A$2:$M$3,2,FALSE)</f>
        <v>AUSTRALIA</v>
      </c>
      <c r="L27" s="4" t="str">
        <f>_xlfn.XLOOKUP($J27,LOCATION!$A$2:$M$2,LOCATION!$A$1:$M$1," ",0,1)</f>
        <v>English</v>
      </c>
      <c r="M27" s="4" t="str">
        <f t="shared" si="1"/>
        <v>runolfsdottir.isabel@xyz.org</v>
      </c>
      <c r="N27" s="37">
        <v>85.9</v>
      </c>
      <c r="O27" s="2" t="s">
        <v>214</v>
      </c>
      <c r="P27" s="2" t="s">
        <v>219</v>
      </c>
      <c r="Q27" s="3" t="str">
        <f>INDEX(SPORT!$A$1:$B$33,MATCH($R27,SPORT!$B$1:$B$33,0),1)</f>
        <v>INDOOR</v>
      </c>
      <c r="R27" s="2" t="s">
        <v>174</v>
      </c>
      <c r="S27" s="40">
        <v>89737</v>
      </c>
    </row>
    <row r="28" spans="1:19" x14ac:dyDescent="0.35">
      <c r="A28" s="31">
        <v>27</v>
      </c>
      <c r="B28" s="3" t="str">
        <f t="shared" si="0"/>
        <v>HR. BARNEY WESACK</v>
      </c>
      <c r="C28" s="2" t="s">
        <v>46</v>
      </c>
      <c r="D28" s="2" t="s">
        <v>78</v>
      </c>
      <c r="E28" s="2"/>
      <c r="F28" s="2" t="s">
        <v>79</v>
      </c>
      <c r="G28" s="34">
        <v>25767</v>
      </c>
      <c r="H28" s="2" t="s">
        <v>17</v>
      </c>
      <c r="I28" s="2" t="s">
        <v>142</v>
      </c>
      <c r="J28" s="4" t="s">
        <v>154</v>
      </c>
      <c r="K28" s="2" t="str">
        <f>HLOOKUP($J28,LOCATION!$A$2:$M$3,2,FALSE)</f>
        <v>AUSTRIA</v>
      </c>
      <c r="L28" s="4" t="str">
        <f>_xlfn.XLOOKUP($J28,LOCATION!$A$2:$M$2,LOCATION!$A$1:$M$1," ",0,1)</f>
        <v>German</v>
      </c>
      <c r="M28" s="4" t="str">
        <f t="shared" si="1"/>
        <v>wesack.barney@xyz.com</v>
      </c>
      <c r="N28" s="37">
        <v>93.4</v>
      </c>
      <c r="O28" s="2" t="s">
        <v>213</v>
      </c>
      <c r="P28" s="2" t="s">
        <v>219</v>
      </c>
      <c r="Q28" s="3" t="str">
        <f>INDEX(SPORT!$A$1:$B$33,MATCH($R28,SPORT!$B$1:$B$33,0),1)</f>
        <v>INDOOR</v>
      </c>
      <c r="R28" s="2" t="s">
        <v>197</v>
      </c>
      <c r="S28" s="40">
        <v>41039</v>
      </c>
    </row>
    <row r="29" spans="1:19" x14ac:dyDescent="0.35">
      <c r="A29" s="31">
        <v>28</v>
      </c>
      <c r="B29" s="3" t="str">
        <f t="shared" si="0"/>
        <v>HR. BARUCH KADE</v>
      </c>
      <c r="C29" s="2" t="s">
        <v>46</v>
      </c>
      <c r="D29" s="2" t="s">
        <v>80</v>
      </c>
      <c r="E29" s="2"/>
      <c r="F29" s="2" t="s">
        <v>81</v>
      </c>
      <c r="G29" s="34">
        <v>30020</v>
      </c>
      <c r="H29" s="2" t="s">
        <v>53</v>
      </c>
      <c r="I29" s="2" t="s">
        <v>142</v>
      </c>
      <c r="J29" s="4" t="s">
        <v>154</v>
      </c>
      <c r="K29" s="2" t="str">
        <f>HLOOKUP($J29,LOCATION!$A$2:$M$3,2,FALSE)</f>
        <v>AUSTRIA</v>
      </c>
      <c r="L29" s="4" t="str">
        <f>_xlfn.XLOOKUP($J29,LOCATION!$A$2:$M$2,LOCATION!$A$1:$M$1," ",0,1)</f>
        <v>German</v>
      </c>
      <c r="M29" s="4" t="str">
        <f t="shared" si="1"/>
        <v>kade.baruch@xyz.com</v>
      </c>
      <c r="N29" s="37">
        <v>95.5</v>
      </c>
      <c r="O29" s="2" t="s">
        <v>218</v>
      </c>
      <c r="P29" s="2" t="s">
        <v>212</v>
      </c>
      <c r="Q29" s="3" t="str">
        <f>INDEX(SPORT!$A$1:$B$33,MATCH($R29,SPORT!$B$1:$B$33,0),1)</f>
        <v>OUTDOOR</v>
      </c>
      <c r="R29" s="2" t="s">
        <v>186</v>
      </c>
      <c r="S29" s="40">
        <v>28458</v>
      </c>
    </row>
    <row r="30" spans="1:19" x14ac:dyDescent="0.35">
      <c r="A30" s="31">
        <v>29</v>
      </c>
      <c r="B30" s="3" t="str">
        <f t="shared" si="0"/>
        <v>PROF. LIESBETH ROSEMANN</v>
      </c>
      <c r="C30" s="2" t="s">
        <v>50</v>
      </c>
      <c r="D30" s="2" t="s">
        <v>82</v>
      </c>
      <c r="E30" s="2"/>
      <c r="F30" s="2" t="s">
        <v>83</v>
      </c>
      <c r="G30" s="34">
        <v>34361</v>
      </c>
      <c r="H30" s="2" t="s">
        <v>12</v>
      </c>
      <c r="I30" s="2" t="s">
        <v>138</v>
      </c>
      <c r="J30" s="4" t="s">
        <v>154</v>
      </c>
      <c r="K30" s="2" t="str">
        <f>HLOOKUP($J30,LOCATION!$A$2:$M$3,2,FALSE)</f>
        <v>AUSTRIA</v>
      </c>
      <c r="L30" s="4" t="str">
        <f>_xlfn.XLOOKUP($J30,LOCATION!$A$2:$M$2,LOCATION!$A$1:$M$1," ",0,1)</f>
        <v>German</v>
      </c>
      <c r="M30" s="4" t="str">
        <f t="shared" si="1"/>
        <v>rosemann.liesbeth@xyz.com</v>
      </c>
      <c r="N30" s="37">
        <v>52.2</v>
      </c>
      <c r="O30" s="2" t="s">
        <v>214</v>
      </c>
      <c r="P30" s="2" t="s">
        <v>217</v>
      </c>
      <c r="Q30" s="3" t="str">
        <f>INDEX(SPORT!$A$1:$B$33,MATCH($R30,SPORT!$B$1:$B$33,0),1)</f>
        <v>OUTDOOR</v>
      </c>
      <c r="R30" s="2" t="s">
        <v>181</v>
      </c>
      <c r="S30" s="40">
        <v>55007</v>
      </c>
    </row>
    <row r="31" spans="1:19" x14ac:dyDescent="0.35">
      <c r="A31" s="31">
        <v>30</v>
      </c>
      <c r="B31" s="3" t="str">
        <f t="shared" si="0"/>
        <v>MME. VALENTINE MOREAU</v>
      </c>
      <c r="C31" s="2" t="s">
        <v>84</v>
      </c>
      <c r="D31" s="2" t="s">
        <v>85</v>
      </c>
      <c r="E31" s="2"/>
      <c r="F31" s="2" t="s">
        <v>86</v>
      </c>
      <c r="G31" s="34">
        <v>29137</v>
      </c>
      <c r="H31" s="2" t="s">
        <v>9</v>
      </c>
      <c r="I31" s="2" t="s">
        <v>138</v>
      </c>
      <c r="J31" s="4" t="s">
        <v>157</v>
      </c>
      <c r="K31" s="2" t="str">
        <f>HLOOKUP($J31,LOCATION!$A$2:$M$3,2,FALSE)</f>
        <v>FRANCE</v>
      </c>
      <c r="L31" s="4" t="str">
        <f>_xlfn.XLOOKUP($J31,LOCATION!$A$2:$M$2,LOCATION!$A$1:$M$1," ",0,1)</f>
        <v>French</v>
      </c>
      <c r="M31" s="4" t="str">
        <f t="shared" si="1"/>
        <v>moreau.valentine@xyz.com</v>
      </c>
      <c r="N31" s="37">
        <v>74.599999999999994</v>
      </c>
      <c r="O31" s="2" t="s">
        <v>214</v>
      </c>
      <c r="P31" s="2" t="s">
        <v>219</v>
      </c>
      <c r="Q31" s="3" t="str">
        <f>INDEX(SPORT!$A$1:$B$33,MATCH($R31,SPORT!$B$1:$B$33,0),1)</f>
        <v>OUTDOOR</v>
      </c>
      <c r="R31" s="2" t="s">
        <v>198</v>
      </c>
      <c r="S31" s="40">
        <v>69041</v>
      </c>
    </row>
    <row r="32" spans="1:19" x14ac:dyDescent="0.35">
      <c r="A32" s="31">
        <v>31</v>
      </c>
      <c r="B32" s="3" t="str">
        <f t="shared" si="0"/>
        <v>MME. PAULETTE DURAND</v>
      </c>
      <c r="C32" s="2" t="s">
        <v>84</v>
      </c>
      <c r="D32" s="2" t="s">
        <v>87</v>
      </c>
      <c r="E32" s="2"/>
      <c r="F32" s="2" t="s">
        <v>88</v>
      </c>
      <c r="G32" s="34">
        <v>32867</v>
      </c>
      <c r="H32" s="2" t="s">
        <v>64</v>
      </c>
      <c r="I32" s="2" t="s">
        <v>138</v>
      </c>
      <c r="J32" s="4" t="s">
        <v>157</v>
      </c>
      <c r="K32" s="2" t="str">
        <f>HLOOKUP($J32,LOCATION!$A$2:$M$3,2,FALSE)</f>
        <v>FRANCE</v>
      </c>
      <c r="L32" s="4" t="str">
        <f>_xlfn.XLOOKUP($J32,LOCATION!$A$2:$M$2,LOCATION!$A$1:$M$1," ",0,1)</f>
        <v>French</v>
      </c>
      <c r="M32" s="4" t="str">
        <f t="shared" si="1"/>
        <v>durand.paulette@xyz.com</v>
      </c>
      <c r="N32" s="37">
        <v>81.7</v>
      </c>
      <c r="O32" s="2" t="s">
        <v>213</v>
      </c>
      <c r="P32" s="2" t="s">
        <v>212</v>
      </c>
      <c r="Q32" s="3" t="str">
        <f>INDEX(SPORT!$A$1:$B$33,MATCH($R32,SPORT!$B$1:$B$33,0),1)</f>
        <v>INDOOR</v>
      </c>
      <c r="R32" s="2" t="s">
        <v>197</v>
      </c>
      <c r="S32" s="40">
        <v>86262</v>
      </c>
    </row>
    <row r="33" spans="1:19" x14ac:dyDescent="0.35">
      <c r="A33" s="31">
        <v>32</v>
      </c>
      <c r="B33" s="3" t="str">
        <f t="shared" si="0"/>
        <v>MME. LAURE-ALIX CHEVALIER</v>
      </c>
      <c r="C33" s="2" t="s">
        <v>84</v>
      </c>
      <c r="D33" s="2" t="s">
        <v>89</v>
      </c>
      <c r="E33" s="2"/>
      <c r="F33" s="2" t="s">
        <v>90</v>
      </c>
      <c r="G33" s="34">
        <v>25925</v>
      </c>
      <c r="H33" s="2" t="s">
        <v>64</v>
      </c>
      <c r="I33" s="2" t="s">
        <v>138</v>
      </c>
      <c r="J33" s="4" t="s">
        <v>157</v>
      </c>
      <c r="K33" s="2" t="str">
        <f>HLOOKUP($J33,LOCATION!$A$2:$M$3,2,FALSE)</f>
        <v>FRANCE</v>
      </c>
      <c r="L33" s="4" t="str">
        <f>_xlfn.XLOOKUP($J33,LOCATION!$A$2:$M$2,LOCATION!$A$1:$M$1," ",0,1)</f>
        <v>French</v>
      </c>
      <c r="M33" s="4" t="str">
        <f t="shared" si="1"/>
        <v>chevalier.laure-alix@xyz.com</v>
      </c>
      <c r="N33" s="37">
        <v>78.099999999999994</v>
      </c>
      <c r="O33" s="2" t="s">
        <v>214</v>
      </c>
      <c r="P33" s="2" t="s">
        <v>217</v>
      </c>
      <c r="Q33" s="3" t="str">
        <f>INDEX(SPORT!$A$1:$B$33,MATCH($R33,SPORT!$B$1:$B$33,0),1)</f>
        <v>OUTDOOR</v>
      </c>
      <c r="R33" s="2" t="s">
        <v>195</v>
      </c>
      <c r="S33" s="40">
        <v>19234</v>
      </c>
    </row>
    <row r="34" spans="1:19" x14ac:dyDescent="0.35">
      <c r="A34" s="31">
        <v>33</v>
      </c>
      <c r="B34" s="3" t="str">
        <f t="shared" si="0"/>
        <v>M. CLAUDE TOUSSAINT</v>
      </c>
      <c r="C34" s="2" t="s">
        <v>91</v>
      </c>
      <c r="D34" s="2" t="s">
        <v>92</v>
      </c>
      <c r="E34" s="2"/>
      <c r="F34" s="2" t="s">
        <v>93</v>
      </c>
      <c r="G34" s="34">
        <v>29529</v>
      </c>
      <c r="H34" s="2" t="s">
        <v>40</v>
      </c>
      <c r="I34" s="2" t="s">
        <v>142</v>
      </c>
      <c r="J34" s="4" t="s">
        <v>157</v>
      </c>
      <c r="K34" s="2" t="str">
        <f>HLOOKUP($J34,LOCATION!$A$2:$M$3,2,FALSE)</f>
        <v>FRANCE</v>
      </c>
      <c r="L34" s="4" t="str">
        <f>_xlfn.XLOOKUP($J34,LOCATION!$A$2:$M$2,LOCATION!$A$1:$M$1," ",0,1)</f>
        <v>French</v>
      </c>
      <c r="M34" s="4" t="str">
        <f t="shared" si="1"/>
        <v>toussaint.claude@xyz.com</v>
      </c>
      <c r="N34" s="37">
        <v>57.1</v>
      </c>
      <c r="O34" s="2" t="s">
        <v>209</v>
      </c>
      <c r="P34" s="2" t="s">
        <v>217</v>
      </c>
      <c r="Q34" s="3" t="str">
        <f>INDEX(SPORT!$A$1:$B$33,MATCH($R34,SPORT!$B$1:$B$33,0),1)</f>
        <v>INDOOR</v>
      </c>
      <c r="R34" s="2" t="s">
        <v>199</v>
      </c>
      <c r="S34" s="40">
        <v>95123</v>
      </c>
    </row>
    <row r="35" spans="1:19" x14ac:dyDescent="0.35">
      <c r="A35" s="31">
        <v>34</v>
      </c>
      <c r="B35" s="3" t="str">
        <f t="shared" si="0"/>
        <v>M. VICTOR LENOIR</v>
      </c>
      <c r="C35" s="2" t="s">
        <v>91</v>
      </c>
      <c r="D35" s="2" t="s">
        <v>94</v>
      </c>
      <c r="E35" s="2"/>
      <c r="F35" s="2" t="s">
        <v>95</v>
      </c>
      <c r="G35" s="34">
        <v>29875</v>
      </c>
      <c r="H35" s="2" t="s">
        <v>9</v>
      </c>
      <c r="I35" s="2" t="s">
        <v>142</v>
      </c>
      <c r="J35" s="4" t="s">
        <v>157</v>
      </c>
      <c r="K35" s="2" t="str">
        <f>HLOOKUP($J35,LOCATION!$A$2:$M$3,2,FALSE)</f>
        <v>FRANCE</v>
      </c>
      <c r="L35" s="4" t="str">
        <f>_xlfn.XLOOKUP($J35,LOCATION!$A$2:$M$2,LOCATION!$A$1:$M$1," ",0,1)</f>
        <v>French</v>
      </c>
      <c r="M35" s="4" t="str">
        <f t="shared" si="1"/>
        <v>lenoir.victor@xyz.com</v>
      </c>
      <c r="N35" s="37">
        <v>56</v>
      </c>
      <c r="O35" s="2" t="s">
        <v>214</v>
      </c>
      <c r="P35" s="2" t="s">
        <v>219</v>
      </c>
      <c r="Q35" s="3" t="str">
        <f>INDEX(SPORT!$A$1:$B$33,MATCH($R35,SPORT!$B$1:$B$33,0),1)</f>
        <v>OUTDOOR</v>
      </c>
      <c r="R35" s="2" t="s">
        <v>193</v>
      </c>
      <c r="S35" s="40">
        <v>62761</v>
      </c>
    </row>
    <row r="36" spans="1:19" x14ac:dyDescent="0.35">
      <c r="A36" s="31">
        <v>35</v>
      </c>
      <c r="B36" s="3" t="str">
        <f t="shared" si="0"/>
        <v>M. ARTHUR LENOIR</v>
      </c>
      <c r="C36" s="2" t="s">
        <v>91</v>
      </c>
      <c r="D36" s="2" t="s">
        <v>96</v>
      </c>
      <c r="E36" s="2"/>
      <c r="F36" s="2" t="s">
        <v>95</v>
      </c>
      <c r="G36" s="34">
        <v>20300</v>
      </c>
      <c r="H36" s="2" t="s">
        <v>30</v>
      </c>
      <c r="I36" s="2" t="s">
        <v>142</v>
      </c>
      <c r="J36" s="4" t="s">
        <v>157</v>
      </c>
      <c r="K36" s="2" t="str">
        <f>HLOOKUP($J36,LOCATION!$A$2:$M$3,2,FALSE)</f>
        <v>FRANCE</v>
      </c>
      <c r="L36" s="4" t="str">
        <f>_xlfn.XLOOKUP($J36,LOCATION!$A$2:$M$2,LOCATION!$A$1:$M$1," ",0,1)</f>
        <v>French</v>
      </c>
      <c r="M36" s="4" t="str">
        <f t="shared" si="1"/>
        <v>lenoir.arthur@xyz.com</v>
      </c>
      <c r="N36" s="37">
        <v>88.6</v>
      </c>
      <c r="O36" s="2" t="s">
        <v>213</v>
      </c>
      <c r="P36" s="2" t="s">
        <v>217</v>
      </c>
      <c r="Q36" s="3" t="str">
        <f>INDEX(SPORT!$A$1:$B$33,MATCH($R36,SPORT!$B$1:$B$33,0),1)</f>
        <v>OUTDOOR</v>
      </c>
      <c r="R36" s="2" t="s">
        <v>200</v>
      </c>
      <c r="S36" s="40">
        <v>108431</v>
      </c>
    </row>
    <row r="37" spans="1:19" x14ac:dyDescent="0.35">
      <c r="A37" s="31">
        <v>36</v>
      </c>
      <c r="B37" s="3" t="str">
        <f t="shared" si="0"/>
        <v>M. BENJAMIN LEBRUN-BRUN</v>
      </c>
      <c r="C37" s="2" t="s">
        <v>91</v>
      </c>
      <c r="D37" s="2" t="s">
        <v>97</v>
      </c>
      <c r="E37" s="2"/>
      <c r="F37" s="2" t="s">
        <v>98</v>
      </c>
      <c r="G37" s="34">
        <v>27428</v>
      </c>
      <c r="H37" s="2" t="s">
        <v>12</v>
      </c>
      <c r="I37" s="2" t="s">
        <v>142</v>
      </c>
      <c r="J37" s="4" t="s">
        <v>157</v>
      </c>
      <c r="K37" s="2" t="str">
        <f>HLOOKUP($J37,LOCATION!$A$2:$M$3,2,FALSE)</f>
        <v>FRANCE</v>
      </c>
      <c r="L37" s="4" t="str">
        <f>_xlfn.XLOOKUP($J37,LOCATION!$A$2:$M$2,LOCATION!$A$1:$M$1," ",0,1)</f>
        <v>French</v>
      </c>
      <c r="M37" s="4" t="str">
        <f t="shared" si="1"/>
        <v>lebrun-brun.benjamin@xyz.com</v>
      </c>
      <c r="N37" s="37">
        <v>78.2</v>
      </c>
      <c r="O37" s="2" t="s">
        <v>211</v>
      </c>
      <c r="P37" s="2" t="s">
        <v>212</v>
      </c>
      <c r="Q37" s="3" t="str">
        <f>INDEX(SPORT!$A$1:$B$33,MATCH($R37,SPORT!$B$1:$B$33,0),1)</f>
        <v>OUTDOOR</v>
      </c>
      <c r="R37" s="2" t="s">
        <v>193</v>
      </c>
      <c r="S37" s="40">
        <v>66268</v>
      </c>
    </row>
    <row r="38" spans="1:19" x14ac:dyDescent="0.35">
      <c r="A38" s="31">
        <v>37</v>
      </c>
      <c r="B38" s="3" t="str">
        <f t="shared" si="0"/>
        <v>M. ANTOINE MAILLARD</v>
      </c>
      <c r="C38" s="2" t="s">
        <v>91</v>
      </c>
      <c r="D38" s="2" t="s">
        <v>99</v>
      </c>
      <c r="E38" s="2"/>
      <c r="F38" s="2" t="s">
        <v>100</v>
      </c>
      <c r="G38" s="34">
        <v>31585</v>
      </c>
      <c r="H38" s="2" t="s">
        <v>17</v>
      </c>
      <c r="I38" s="2" t="s">
        <v>142</v>
      </c>
      <c r="J38" s="4" t="s">
        <v>157</v>
      </c>
      <c r="K38" s="2" t="str">
        <f>HLOOKUP($J38,LOCATION!$A$2:$M$3,2,FALSE)</f>
        <v>FRANCE</v>
      </c>
      <c r="L38" s="4" t="str">
        <f>_xlfn.XLOOKUP($J38,LOCATION!$A$2:$M$2,LOCATION!$A$1:$M$1," ",0,1)</f>
        <v>French</v>
      </c>
      <c r="M38" s="4" t="str">
        <f t="shared" si="1"/>
        <v>maillard.antoine@xyz.com</v>
      </c>
      <c r="N38" s="37">
        <v>95.8</v>
      </c>
      <c r="O38" s="2" t="s">
        <v>214</v>
      </c>
      <c r="P38" s="2" t="s">
        <v>215</v>
      </c>
      <c r="Q38" s="3" t="str">
        <f>INDEX(SPORT!$A$1:$B$33,MATCH($R38,SPORT!$B$1:$B$33,0),1)</f>
        <v>OUTDOOR</v>
      </c>
      <c r="R38" s="2" t="s">
        <v>201</v>
      </c>
      <c r="S38" s="40">
        <v>33970</v>
      </c>
    </row>
    <row r="39" spans="1:19" x14ac:dyDescent="0.35">
      <c r="A39" s="31">
        <v>38</v>
      </c>
      <c r="B39" s="3" t="str">
        <f t="shared" si="0"/>
        <v>M. BERNARD HOARAU-GUYON</v>
      </c>
      <c r="C39" s="2" t="s">
        <v>91</v>
      </c>
      <c r="D39" s="2" t="s">
        <v>101</v>
      </c>
      <c r="E39" s="2"/>
      <c r="F39" s="2" t="s">
        <v>102</v>
      </c>
      <c r="G39" s="34">
        <v>30327</v>
      </c>
      <c r="H39" s="2" t="s">
        <v>64</v>
      </c>
      <c r="I39" s="2" t="s">
        <v>142</v>
      </c>
      <c r="J39" s="4" t="s">
        <v>157</v>
      </c>
      <c r="K39" s="2" t="str">
        <f>HLOOKUP($J39,LOCATION!$A$2:$M$3,2,FALSE)</f>
        <v>FRANCE</v>
      </c>
      <c r="L39" s="4" t="str">
        <f>_xlfn.XLOOKUP($J39,LOCATION!$A$2:$M$2,LOCATION!$A$1:$M$1," ",0,1)</f>
        <v>French</v>
      </c>
      <c r="M39" s="4" t="str">
        <f t="shared" si="1"/>
        <v>hoarau-guyon.bernard@xyz.com</v>
      </c>
      <c r="N39" s="37">
        <v>59.7</v>
      </c>
      <c r="O39" s="2" t="s">
        <v>218</v>
      </c>
      <c r="P39" s="2" t="s">
        <v>212</v>
      </c>
      <c r="Q39" s="3" t="str">
        <f>INDEX(SPORT!$A$1:$B$33,MATCH($R39,SPORT!$B$1:$B$33,0),1)</f>
        <v>INDOOR</v>
      </c>
      <c r="R39" s="2" t="s">
        <v>174</v>
      </c>
      <c r="S39" s="40">
        <v>71352</v>
      </c>
    </row>
    <row r="40" spans="1:19" x14ac:dyDescent="0.35">
      <c r="A40" s="31">
        <v>39</v>
      </c>
      <c r="B40" s="3" t="str">
        <f t="shared" si="0"/>
        <v>SR. HIDALGO TERCERO</v>
      </c>
      <c r="C40" s="2" t="s">
        <v>13</v>
      </c>
      <c r="D40" s="2" t="s">
        <v>103</v>
      </c>
      <c r="E40" s="2" t="s">
        <v>104</v>
      </c>
      <c r="F40" s="2" t="s">
        <v>105</v>
      </c>
      <c r="G40" s="34">
        <v>31016</v>
      </c>
      <c r="H40" s="2" t="s">
        <v>27</v>
      </c>
      <c r="I40" s="2" t="s">
        <v>142</v>
      </c>
      <c r="J40" s="4" t="s">
        <v>160</v>
      </c>
      <c r="K40" s="2" t="str">
        <f>HLOOKUP($J40,LOCATION!$A$2:$M$3,2,FALSE)</f>
        <v>ARGENTINA</v>
      </c>
      <c r="L40" s="4" t="str">
        <f>_xlfn.XLOOKUP($J40,LOCATION!$A$2:$M$2,LOCATION!$A$1:$M$1," ",0,1)</f>
        <v>Spanish</v>
      </c>
      <c r="M40" s="4" t="str">
        <f t="shared" si="1"/>
        <v>tercero.hidalgo@xyz.com</v>
      </c>
      <c r="N40" s="37">
        <v>77.7</v>
      </c>
      <c r="O40" s="2" t="s">
        <v>218</v>
      </c>
      <c r="P40" s="2" t="s">
        <v>215</v>
      </c>
      <c r="Q40" s="3" t="str">
        <f>INDEX(SPORT!$A$1:$B$33,MATCH($R40,SPORT!$B$1:$B$33,0),1)</f>
        <v>OUTDOOR</v>
      </c>
      <c r="R40" s="2" t="s">
        <v>196</v>
      </c>
      <c r="S40" s="40">
        <v>116376</v>
      </c>
    </row>
    <row r="41" spans="1:19" x14ac:dyDescent="0.35">
      <c r="A41" s="31">
        <v>40</v>
      </c>
      <c r="B41" s="3" t="str">
        <f t="shared" si="0"/>
        <v>SR. HADALGO POLANCO</v>
      </c>
      <c r="C41" s="2" t="s">
        <v>13</v>
      </c>
      <c r="D41" s="2" t="s">
        <v>106</v>
      </c>
      <c r="E41" s="2"/>
      <c r="F41" s="2" t="s">
        <v>107</v>
      </c>
      <c r="G41" s="34">
        <v>32314</v>
      </c>
      <c r="H41" s="2" t="s">
        <v>108</v>
      </c>
      <c r="I41" s="2" t="s">
        <v>142</v>
      </c>
      <c r="J41" s="4" t="s">
        <v>160</v>
      </c>
      <c r="K41" s="2" t="str">
        <f>HLOOKUP($J41,LOCATION!$A$2:$M$3,2,FALSE)</f>
        <v>ARGENTINA</v>
      </c>
      <c r="L41" s="4" t="str">
        <f>_xlfn.XLOOKUP($J41,LOCATION!$A$2:$M$2,LOCATION!$A$1:$M$1," ",0,1)</f>
        <v>Spanish</v>
      </c>
      <c r="M41" s="4" t="str">
        <f t="shared" si="1"/>
        <v>polanco.hadalgo@xyz.com</v>
      </c>
      <c r="N41" s="37">
        <v>98</v>
      </c>
      <c r="O41" s="2" t="s">
        <v>214</v>
      </c>
      <c r="P41" s="2" t="s">
        <v>210</v>
      </c>
      <c r="Q41" s="3" t="str">
        <f>INDEX(SPORT!$A$1:$B$33,MATCH($R41,SPORT!$B$1:$B$33,0),1)</f>
        <v>OUTDOOR</v>
      </c>
      <c r="R41" s="2" t="s">
        <v>195</v>
      </c>
      <c r="S41" s="40">
        <v>114144</v>
      </c>
    </row>
    <row r="42" spans="1:19" x14ac:dyDescent="0.35">
      <c r="A42" s="31">
        <v>41</v>
      </c>
      <c r="B42" s="3" t="str">
        <f t="shared" si="0"/>
        <v>SRA. LAURA OLIVIERA</v>
      </c>
      <c r="C42" s="2" t="s">
        <v>109</v>
      </c>
      <c r="D42" s="2" t="s">
        <v>110</v>
      </c>
      <c r="E42" s="2"/>
      <c r="F42" s="2" t="s">
        <v>111</v>
      </c>
      <c r="G42" s="34">
        <v>27076</v>
      </c>
      <c r="H42" s="2" t="s">
        <v>12</v>
      </c>
      <c r="I42" s="2" t="s">
        <v>138</v>
      </c>
      <c r="J42" s="4" t="s">
        <v>160</v>
      </c>
      <c r="K42" s="2" t="str">
        <f>HLOOKUP($J42,LOCATION!$A$2:$M$3,2,FALSE)</f>
        <v>ARGENTINA</v>
      </c>
      <c r="L42" s="4" t="str">
        <f>_xlfn.XLOOKUP($J42,LOCATION!$A$2:$M$2,LOCATION!$A$1:$M$1," ",0,1)</f>
        <v>Spanish</v>
      </c>
      <c r="M42" s="4" t="str">
        <f t="shared" si="1"/>
        <v>oliviera.laura@xyz.com</v>
      </c>
      <c r="N42" s="37">
        <v>51.9</v>
      </c>
      <c r="O42" s="2" t="s">
        <v>213</v>
      </c>
      <c r="P42" s="2" t="s">
        <v>212</v>
      </c>
      <c r="Q42" s="3" t="str">
        <f>INDEX(SPORT!$A$1:$B$33,MATCH($R42,SPORT!$B$1:$B$33,0),1)</f>
        <v>OUTDOOR</v>
      </c>
      <c r="R42" s="2" t="s">
        <v>202</v>
      </c>
      <c r="S42" s="40">
        <v>79872</v>
      </c>
    </row>
    <row r="43" spans="1:19" x14ac:dyDescent="0.35">
      <c r="A43" s="31">
        <v>42</v>
      </c>
      <c r="B43" s="3" t="str">
        <f t="shared" si="0"/>
        <v>SRA. AINHOA GARZA</v>
      </c>
      <c r="C43" s="2" t="s">
        <v>109</v>
      </c>
      <c r="D43" s="2" t="s">
        <v>112</v>
      </c>
      <c r="E43" s="2"/>
      <c r="F43" s="2" t="s">
        <v>113</v>
      </c>
      <c r="G43" s="34">
        <v>32941</v>
      </c>
      <c r="H43" s="2" t="s">
        <v>53</v>
      </c>
      <c r="I43" s="2" t="s">
        <v>138</v>
      </c>
      <c r="J43" s="4" t="s">
        <v>162</v>
      </c>
      <c r="K43" s="2" t="str">
        <f>HLOOKUP($J43,LOCATION!$A$2:$M$3,2,FALSE)</f>
        <v>SPAIN</v>
      </c>
      <c r="L43" s="4" t="str">
        <f>_xlfn.XLOOKUP($J43,LOCATION!$A$2:$M$2,LOCATION!$A$1:$M$1," ",0,1)</f>
        <v>Spanish</v>
      </c>
      <c r="M43" s="4" t="str">
        <f t="shared" si="1"/>
        <v>garza.ainhoa@xyz.com</v>
      </c>
      <c r="N43" s="37">
        <v>55.6</v>
      </c>
      <c r="O43" s="2" t="s">
        <v>211</v>
      </c>
      <c r="P43" s="2" t="s">
        <v>217</v>
      </c>
      <c r="Q43" s="3" t="str">
        <f>INDEX(SPORT!$A$1:$B$33,MATCH($R43,SPORT!$B$1:$B$33,0),1)</f>
        <v>INDOOR</v>
      </c>
      <c r="R43" s="2" t="s">
        <v>203</v>
      </c>
      <c r="S43" s="40">
        <v>101969</v>
      </c>
    </row>
    <row r="44" spans="1:19" x14ac:dyDescent="0.35">
      <c r="A44" s="31">
        <v>43</v>
      </c>
      <c r="B44" s="3" t="str">
        <f t="shared" si="0"/>
        <v>SRA. ISABEL BANDA</v>
      </c>
      <c r="C44" s="2" t="s">
        <v>109</v>
      </c>
      <c r="D44" s="2" t="s">
        <v>76</v>
      </c>
      <c r="E44" s="2"/>
      <c r="F44" s="2" t="s">
        <v>114</v>
      </c>
      <c r="G44" s="34">
        <v>21927</v>
      </c>
      <c r="H44" s="2" t="s">
        <v>64</v>
      </c>
      <c r="I44" s="2" t="s">
        <v>138</v>
      </c>
      <c r="J44" s="4" t="s">
        <v>162</v>
      </c>
      <c r="K44" s="2" t="str">
        <f>HLOOKUP($J44,LOCATION!$A$2:$M$3,2,FALSE)</f>
        <v>SPAIN</v>
      </c>
      <c r="L44" s="4" t="str">
        <f>_xlfn.XLOOKUP($J44,LOCATION!$A$2:$M$2,LOCATION!$A$1:$M$1," ",0,1)</f>
        <v>Spanish</v>
      </c>
      <c r="M44" s="4" t="str">
        <f t="shared" si="1"/>
        <v>banda.isabel@xyz.com</v>
      </c>
      <c r="N44" s="37">
        <v>102.3</v>
      </c>
      <c r="O44" s="2" t="s">
        <v>213</v>
      </c>
      <c r="P44" s="2" t="s">
        <v>217</v>
      </c>
      <c r="Q44" s="3" t="str">
        <f>INDEX(SPORT!$A$1:$B$33,MATCH($R44,SPORT!$B$1:$B$33,0),1)</f>
        <v>OUTDOOR</v>
      </c>
      <c r="R44" s="2" t="s">
        <v>196</v>
      </c>
      <c r="S44" s="40">
        <v>50659</v>
      </c>
    </row>
    <row r="45" spans="1:19" x14ac:dyDescent="0.35">
      <c r="A45" s="31">
        <v>44</v>
      </c>
      <c r="B45" s="3" t="str">
        <f t="shared" si="0"/>
        <v>SRA. CAROLOTA MATEOS</v>
      </c>
      <c r="C45" s="2" t="s">
        <v>109</v>
      </c>
      <c r="D45" s="2" t="s">
        <v>115</v>
      </c>
      <c r="E45" s="2"/>
      <c r="F45" s="2" t="s">
        <v>116</v>
      </c>
      <c r="G45" s="34">
        <v>23952</v>
      </c>
      <c r="H45" s="2" t="s">
        <v>30</v>
      </c>
      <c r="I45" s="2" t="s">
        <v>138</v>
      </c>
      <c r="J45" s="4" t="s">
        <v>162</v>
      </c>
      <c r="K45" s="2" t="str">
        <f>HLOOKUP($J45,LOCATION!$A$2:$M$3,2,FALSE)</f>
        <v>SPAIN</v>
      </c>
      <c r="L45" s="4" t="str">
        <f>_xlfn.XLOOKUP($J45,LOCATION!$A$2:$M$2,LOCATION!$A$1:$M$1," ",0,1)</f>
        <v>Spanish</v>
      </c>
      <c r="M45" s="4" t="str">
        <f t="shared" si="1"/>
        <v>mateos.carolota@xyz.com</v>
      </c>
      <c r="N45" s="37">
        <v>58.8</v>
      </c>
      <c r="O45" s="2" t="s">
        <v>218</v>
      </c>
      <c r="P45" s="2" t="s">
        <v>212</v>
      </c>
      <c r="Q45" s="3" t="str">
        <f>INDEX(SPORT!$A$1:$B$33,MATCH($R45,SPORT!$B$1:$B$33,0),1)</f>
        <v>OUTDOOR</v>
      </c>
      <c r="R45" s="2" t="s">
        <v>202</v>
      </c>
      <c r="S45" s="40">
        <v>58215</v>
      </c>
    </row>
    <row r="46" spans="1:19" x14ac:dyDescent="0.35">
      <c r="A46" s="31">
        <v>45</v>
      </c>
      <c r="B46" s="3" t="str">
        <f t="shared" si="0"/>
        <v>MW. ELIZE PRINS</v>
      </c>
      <c r="C46" s="2" t="s">
        <v>117</v>
      </c>
      <c r="D46" s="2" t="s">
        <v>118</v>
      </c>
      <c r="E46" s="2"/>
      <c r="F46" s="2" t="s">
        <v>119</v>
      </c>
      <c r="G46" s="34">
        <v>22044</v>
      </c>
      <c r="H46" s="2" t="s">
        <v>20</v>
      </c>
      <c r="I46" s="2" t="s">
        <v>138</v>
      </c>
      <c r="J46" s="4" t="s">
        <v>165</v>
      </c>
      <c r="K46" s="2" t="str">
        <f>HLOOKUP($J46,LOCATION!$A$2:$M$3,2,FALSE)</f>
        <v>NETHERLANDS</v>
      </c>
      <c r="L46" s="4" t="str">
        <f>_xlfn.XLOOKUP($J46,LOCATION!$A$2:$M$2,LOCATION!$A$1:$M$1," ",0,1)</f>
        <v>Dutch</v>
      </c>
      <c r="M46" s="4" t="str">
        <f t="shared" si="1"/>
        <v>prins.elize@xyz.com</v>
      </c>
      <c r="N46" s="37">
        <v>63.8</v>
      </c>
      <c r="O46" s="2" t="s">
        <v>214</v>
      </c>
      <c r="P46" s="2" t="s">
        <v>217</v>
      </c>
      <c r="Q46" s="3" t="str">
        <f>INDEX(SPORT!$A$1:$B$33,MATCH($R46,SPORT!$B$1:$B$33,0),1)</f>
        <v>INDOOR</v>
      </c>
      <c r="R46" s="2" t="s">
        <v>204</v>
      </c>
      <c r="S46" s="40">
        <v>39935</v>
      </c>
    </row>
    <row r="47" spans="1:19" x14ac:dyDescent="0.35">
      <c r="A47" s="31">
        <v>46</v>
      </c>
      <c r="B47" s="3" t="str">
        <f t="shared" si="0"/>
        <v>DHR. RYAN PHAM</v>
      </c>
      <c r="C47" s="2" t="s">
        <v>120</v>
      </c>
      <c r="D47" s="2" t="s">
        <v>121</v>
      </c>
      <c r="E47" s="2"/>
      <c r="F47" s="2" t="s">
        <v>122</v>
      </c>
      <c r="G47" s="34">
        <v>26940</v>
      </c>
      <c r="H47" s="2" t="s">
        <v>9</v>
      </c>
      <c r="I47" s="2" t="s">
        <v>142</v>
      </c>
      <c r="J47" s="4" t="s">
        <v>165</v>
      </c>
      <c r="K47" s="2" t="str">
        <f>HLOOKUP($J47,LOCATION!$A$2:$M$3,2,FALSE)</f>
        <v>NETHERLANDS</v>
      </c>
      <c r="L47" s="4" t="str">
        <f>_xlfn.XLOOKUP($J47,LOCATION!$A$2:$M$2,LOCATION!$A$1:$M$1," ",0,1)</f>
        <v>Dutch</v>
      </c>
      <c r="M47" s="4" t="str">
        <f t="shared" si="1"/>
        <v>pham.ryan@xyz.com</v>
      </c>
      <c r="N47" s="37">
        <v>98.6</v>
      </c>
      <c r="O47" s="2" t="s">
        <v>213</v>
      </c>
      <c r="P47" s="2" t="s">
        <v>219</v>
      </c>
      <c r="Q47" s="3" t="str">
        <f>INDEX(SPORT!$A$1:$B$33,MATCH($R47,SPORT!$B$1:$B$33,0),1)</f>
        <v>OUTDOOR</v>
      </c>
      <c r="R47" s="2" t="s">
        <v>195</v>
      </c>
      <c r="S47" s="40">
        <v>44865</v>
      </c>
    </row>
    <row r="48" spans="1:19" x14ac:dyDescent="0.35">
      <c r="A48" s="31">
        <v>47</v>
      </c>
      <c r="B48" s="3" t="str">
        <f t="shared" si="0"/>
        <v>MW ELISE ROTTEVEEL</v>
      </c>
      <c r="C48" s="2" t="s">
        <v>123</v>
      </c>
      <c r="D48" s="2" t="s">
        <v>124</v>
      </c>
      <c r="E48" s="2"/>
      <c r="F48" s="2" t="s">
        <v>125</v>
      </c>
      <c r="G48" s="34">
        <v>24936</v>
      </c>
      <c r="H48" s="2" t="s">
        <v>69</v>
      </c>
      <c r="I48" s="2" t="s">
        <v>138</v>
      </c>
      <c r="J48" s="4" t="s">
        <v>165</v>
      </c>
      <c r="K48" s="2" t="str">
        <f>HLOOKUP($J48,LOCATION!$A$2:$M$3,2,FALSE)</f>
        <v>NETHERLANDS</v>
      </c>
      <c r="L48" s="4" t="str">
        <f>_xlfn.XLOOKUP($J48,LOCATION!$A$2:$M$2,LOCATION!$A$1:$M$1," ",0,1)</f>
        <v>Dutch</v>
      </c>
      <c r="M48" s="4" t="str">
        <f t="shared" si="1"/>
        <v>rotteveel.elise@xyz.com</v>
      </c>
      <c r="N48" s="37">
        <v>61.8</v>
      </c>
      <c r="O48" s="2" t="s">
        <v>218</v>
      </c>
      <c r="P48" s="2" t="s">
        <v>212</v>
      </c>
      <c r="Q48" s="3" t="str">
        <f>INDEX(SPORT!$A$1:$B$33,MATCH($R48,SPORT!$B$1:$B$33,0),1)</f>
        <v>OUTDOOR</v>
      </c>
      <c r="R48" s="2" t="s">
        <v>195</v>
      </c>
      <c r="S48" s="40">
        <v>90478</v>
      </c>
    </row>
    <row r="49" spans="1:19" x14ac:dyDescent="0.35">
      <c r="A49" s="31">
        <v>48</v>
      </c>
      <c r="B49" s="3" t="str">
        <f t="shared" si="0"/>
        <v>FRU. MIRJAM SODERBERG</v>
      </c>
      <c r="C49" s="2" t="s">
        <v>126</v>
      </c>
      <c r="D49" s="2" t="s">
        <v>127</v>
      </c>
      <c r="E49" s="2"/>
      <c r="F49" s="2" t="s">
        <v>128</v>
      </c>
      <c r="G49" s="34">
        <v>35567</v>
      </c>
      <c r="H49" s="2" t="s">
        <v>20</v>
      </c>
      <c r="I49" s="2" t="s">
        <v>138</v>
      </c>
      <c r="J49" s="4" t="s">
        <v>168</v>
      </c>
      <c r="K49" s="2" t="str">
        <f>HLOOKUP($J49,LOCATION!$A$2:$M$3,2,FALSE)</f>
        <v>SWEDEN</v>
      </c>
      <c r="L49" s="4" t="str">
        <f>_xlfn.XLOOKUP($J49,LOCATION!$A$2:$M$2,LOCATION!$A$1:$M$1," ",0,1)</f>
        <v>Swedish</v>
      </c>
      <c r="M49" s="4" t="str">
        <f t="shared" si="1"/>
        <v>soderberg.mirjam@xyz.com</v>
      </c>
      <c r="N49" s="37">
        <v>50</v>
      </c>
      <c r="O49" s="2" t="s">
        <v>213</v>
      </c>
      <c r="P49" s="2" t="s">
        <v>217</v>
      </c>
      <c r="Q49" s="3" t="str">
        <f>INDEX(SPORT!$A$1:$B$33,MATCH($R49,SPORT!$B$1:$B$33,0),1)</f>
        <v>OUTDOOR</v>
      </c>
      <c r="R49" s="2" t="s">
        <v>177</v>
      </c>
      <c r="S49" s="40">
        <v>38965</v>
      </c>
    </row>
    <row r="50" spans="1:19" x14ac:dyDescent="0.35">
      <c r="A50" s="31">
        <v>49</v>
      </c>
      <c r="B50" s="3" t="str">
        <f t="shared" si="0"/>
        <v>H. BERNDT PALSSON</v>
      </c>
      <c r="C50" s="2" t="s">
        <v>129</v>
      </c>
      <c r="D50" s="2" t="s">
        <v>130</v>
      </c>
      <c r="E50" s="2"/>
      <c r="F50" s="2" t="s">
        <v>131</v>
      </c>
      <c r="G50" s="34">
        <v>31832</v>
      </c>
      <c r="H50" s="2" t="s">
        <v>53</v>
      </c>
      <c r="I50" s="2" t="s">
        <v>142</v>
      </c>
      <c r="J50" s="4" t="s">
        <v>168</v>
      </c>
      <c r="K50" s="2" t="str">
        <f>HLOOKUP($J50,LOCATION!$A$2:$M$3,2,FALSE)</f>
        <v>SWEDEN</v>
      </c>
      <c r="L50" s="4" t="str">
        <f>_xlfn.XLOOKUP($J50,LOCATION!$A$2:$M$2,LOCATION!$A$1:$M$1," ",0,1)</f>
        <v>Swedish</v>
      </c>
      <c r="M50" s="4" t="str">
        <f t="shared" si="1"/>
        <v>palsson.berndt@xyz.com</v>
      </c>
      <c r="N50" s="37">
        <v>45.9</v>
      </c>
      <c r="O50" s="2" t="s">
        <v>214</v>
      </c>
      <c r="P50" s="2" t="s">
        <v>210</v>
      </c>
      <c r="Q50" s="3" t="str">
        <f>INDEX(SPORT!$A$1:$B$33,MATCH($R50,SPORT!$B$1:$B$33,0),1)</f>
        <v>OUTDOOR</v>
      </c>
      <c r="R50" s="2" t="s">
        <v>205</v>
      </c>
      <c r="S50" s="40">
        <v>35387</v>
      </c>
    </row>
    <row r="51" spans="1:19" x14ac:dyDescent="0.35">
      <c r="A51" s="31">
        <v>50</v>
      </c>
      <c r="B51" s="3" t="str">
        <f t="shared" si="0"/>
        <v>SR. ADRIANO SOBRINHO</v>
      </c>
      <c r="C51" s="2" t="s">
        <v>13</v>
      </c>
      <c r="D51" s="2" t="s">
        <v>132</v>
      </c>
      <c r="E51" s="2" t="s">
        <v>133</v>
      </c>
      <c r="F51" s="2" t="s">
        <v>134</v>
      </c>
      <c r="G51" s="34">
        <v>34178</v>
      </c>
      <c r="H51" s="2" t="s">
        <v>30</v>
      </c>
      <c r="I51" s="2" t="s">
        <v>142</v>
      </c>
      <c r="J51" s="4" t="s">
        <v>169</v>
      </c>
      <c r="K51" s="2" t="str">
        <f>HLOOKUP($J51,LOCATION!$A$2:$M$3,2,FALSE)</f>
        <v>BRAZIL</v>
      </c>
      <c r="L51" s="4" t="str">
        <f>_xlfn.XLOOKUP($J51,LOCATION!$A$2:$M$2,LOCATION!$A$1:$M$1," ",0,1)</f>
        <v>Portuguese</v>
      </c>
      <c r="M51" s="4" t="str">
        <f t="shared" si="1"/>
        <v>sobrinho.adriano@xyz.com</v>
      </c>
      <c r="N51" s="37">
        <v>92.5</v>
      </c>
      <c r="O51" s="2" t="s">
        <v>209</v>
      </c>
      <c r="P51" s="2" t="s">
        <v>216</v>
      </c>
      <c r="Q51" s="3" t="str">
        <f>INDEX(SPORT!$A$1:$B$33,MATCH($R51,SPORT!$B$1:$B$33,0),1)</f>
        <v>INDOOR</v>
      </c>
      <c r="R51" s="2" t="s">
        <v>206</v>
      </c>
      <c r="S51" s="40">
        <v>20532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D10" sqref="D10"/>
    </sheetView>
  </sheetViews>
  <sheetFormatPr defaultRowHeight="14.5" x14ac:dyDescent="0.35"/>
  <cols>
    <col min="1" max="1" width="15.54296875" bestFit="1" customWidth="1"/>
    <col min="2" max="2" width="24" bestFit="1" customWidth="1"/>
  </cols>
  <sheetData>
    <row r="1" spans="1:2" x14ac:dyDescent="0.35">
      <c r="A1" s="27" t="s">
        <v>171</v>
      </c>
      <c r="B1" s="27" t="s">
        <v>172</v>
      </c>
    </row>
    <row r="2" spans="1:2" x14ac:dyDescent="0.35">
      <c r="A2" s="28" t="s">
        <v>173</v>
      </c>
      <c r="B2" s="28" t="s">
        <v>174</v>
      </c>
    </row>
    <row r="3" spans="1:2" x14ac:dyDescent="0.35">
      <c r="A3" s="29" t="s">
        <v>173</v>
      </c>
      <c r="B3" s="29" t="s">
        <v>175</v>
      </c>
    </row>
    <row r="4" spans="1:2" x14ac:dyDescent="0.35">
      <c r="A4" s="29" t="s">
        <v>176</v>
      </c>
      <c r="B4" s="29" t="s">
        <v>177</v>
      </c>
    </row>
    <row r="5" spans="1:2" x14ac:dyDescent="0.35">
      <c r="A5" s="29" t="s">
        <v>176</v>
      </c>
      <c r="B5" s="29" t="s">
        <v>178</v>
      </c>
    </row>
    <row r="6" spans="1:2" x14ac:dyDescent="0.35">
      <c r="A6" s="29" t="s">
        <v>173</v>
      </c>
      <c r="B6" s="29" t="s">
        <v>179</v>
      </c>
    </row>
    <row r="7" spans="1:2" x14ac:dyDescent="0.35">
      <c r="A7" s="29" t="s">
        <v>173</v>
      </c>
      <c r="B7" s="29" t="s">
        <v>180</v>
      </c>
    </row>
    <row r="8" spans="1:2" x14ac:dyDescent="0.35">
      <c r="A8" s="29" t="s">
        <v>176</v>
      </c>
      <c r="B8" s="29" t="s">
        <v>181</v>
      </c>
    </row>
    <row r="9" spans="1:2" x14ac:dyDescent="0.35">
      <c r="A9" s="29" t="s">
        <v>173</v>
      </c>
      <c r="B9" s="29" t="s">
        <v>182</v>
      </c>
    </row>
    <row r="10" spans="1:2" x14ac:dyDescent="0.35">
      <c r="A10" s="29" t="s">
        <v>173</v>
      </c>
      <c r="B10" s="29" t="s">
        <v>183</v>
      </c>
    </row>
    <row r="11" spans="1:2" x14ac:dyDescent="0.35">
      <c r="A11" s="29" t="s">
        <v>176</v>
      </c>
      <c r="B11" s="29" t="s">
        <v>184</v>
      </c>
    </row>
    <row r="12" spans="1:2" x14ac:dyDescent="0.35">
      <c r="A12" s="29" t="s">
        <v>176</v>
      </c>
      <c r="B12" s="29" t="s">
        <v>185</v>
      </c>
    </row>
    <row r="13" spans="1:2" x14ac:dyDescent="0.35">
      <c r="A13" s="29" t="s">
        <v>176</v>
      </c>
      <c r="B13" s="29" t="s">
        <v>186</v>
      </c>
    </row>
    <row r="14" spans="1:2" x14ac:dyDescent="0.35">
      <c r="A14" s="29" t="s">
        <v>176</v>
      </c>
      <c r="B14" s="29" t="s">
        <v>187</v>
      </c>
    </row>
    <row r="15" spans="1:2" x14ac:dyDescent="0.35">
      <c r="A15" s="29" t="s">
        <v>173</v>
      </c>
      <c r="B15" s="29" t="s">
        <v>188</v>
      </c>
    </row>
    <row r="16" spans="1:2" x14ac:dyDescent="0.35">
      <c r="A16" s="29" t="s">
        <v>173</v>
      </c>
      <c r="B16" s="29" t="s">
        <v>189</v>
      </c>
    </row>
    <row r="17" spans="1:2" x14ac:dyDescent="0.35">
      <c r="A17" s="29" t="s">
        <v>176</v>
      </c>
      <c r="B17" s="29" t="s">
        <v>190</v>
      </c>
    </row>
    <row r="18" spans="1:2" x14ac:dyDescent="0.35">
      <c r="A18" s="29" t="s">
        <v>173</v>
      </c>
      <c r="B18" s="29" t="s">
        <v>191</v>
      </c>
    </row>
    <row r="19" spans="1:2" x14ac:dyDescent="0.35">
      <c r="A19" s="29" t="s">
        <v>173</v>
      </c>
      <c r="B19" s="29" t="s">
        <v>192</v>
      </c>
    </row>
    <row r="20" spans="1:2" x14ac:dyDescent="0.35">
      <c r="A20" s="29" t="s">
        <v>176</v>
      </c>
      <c r="B20" s="29" t="s">
        <v>193</v>
      </c>
    </row>
    <row r="21" spans="1:2" x14ac:dyDescent="0.35">
      <c r="A21" s="29" t="s">
        <v>176</v>
      </c>
      <c r="B21" s="29" t="s">
        <v>194</v>
      </c>
    </row>
    <row r="22" spans="1:2" x14ac:dyDescent="0.35">
      <c r="A22" s="29" t="s">
        <v>176</v>
      </c>
      <c r="B22" s="29" t="s">
        <v>195</v>
      </c>
    </row>
    <row r="23" spans="1:2" x14ac:dyDescent="0.35">
      <c r="A23" s="29" t="s">
        <v>176</v>
      </c>
      <c r="B23" s="29" t="s">
        <v>196</v>
      </c>
    </row>
    <row r="24" spans="1:2" x14ac:dyDescent="0.35">
      <c r="A24" s="29" t="s">
        <v>173</v>
      </c>
      <c r="B24" s="29" t="s">
        <v>197</v>
      </c>
    </row>
    <row r="25" spans="1:2" x14ac:dyDescent="0.35">
      <c r="A25" s="29" t="s">
        <v>176</v>
      </c>
      <c r="B25" s="29" t="s">
        <v>198</v>
      </c>
    </row>
    <row r="26" spans="1:2" x14ac:dyDescent="0.35">
      <c r="A26" s="29" t="s">
        <v>173</v>
      </c>
      <c r="B26" s="29" t="s">
        <v>199</v>
      </c>
    </row>
    <row r="27" spans="1:2" x14ac:dyDescent="0.35">
      <c r="A27" s="29" t="s">
        <v>176</v>
      </c>
      <c r="B27" s="29" t="s">
        <v>200</v>
      </c>
    </row>
    <row r="28" spans="1:2" x14ac:dyDescent="0.35">
      <c r="A28" s="29" t="s">
        <v>176</v>
      </c>
      <c r="B28" s="29" t="s">
        <v>201</v>
      </c>
    </row>
    <row r="29" spans="1:2" x14ac:dyDescent="0.35">
      <c r="A29" s="29" t="s">
        <v>176</v>
      </c>
      <c r="B29" s="29" t="s">
        <v>202</v>
      </c>
    </row>
    <row r="30" spans="1:2" x14ac:dyDescent="0.35">
      <c r="A30" s="29" t="s">
        <v>173</v>
      </c>
      <c r="B30" s="29" t="s">
        <v>203</v>
      </c>
    </row>
    <row r="31" spans="1:2" x14ac:dyDescent="0.35">
      <c r="A31" s="29" t="s">
        <v>173</v>
      </c>
      <c r="B31" s="29" t="s">
        <v>204</v>
      </c>
    </row>
    <row r="32" spans="1:2" x14ac:dyDescent="0.35">
      <c r="A32" s="29" t="s">
        <v>176</v>
      </c>
      <c r="B32" s="29" t="s">
        <v>205</v>
      </c>
    </row>
    <row r="33" spans="1:2" x14ac:dyDescent="0.35">
      <c r="A33" s="29" t="s">
        <v>173</v>
      </c>
      <c r="B33" s="29"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B2" sqref="B2"/>
    </sheetView>
  </sheetViews>
  <sheetFormatPr defaultRowHeight="14.5" x14ac:dyDescent="0.35"/>
  <cols>
    <col min="1" max="13" width="13.7265625" style="1" customWidth="1"/>
  </cols>
  <sheetData>
    <row r="1" spans="1:13" x14ac:dyDescent="0.35">
      <c r="A1" s="5" t="s">
        <v>136</v>
      </c>
      <c r="B1" s="3" t="s">
        <v>139</v>
      </c>
      <c r="C1" s="3" t="s">
        <v>143</v>
      </c>
      <c r="D1" s="3" t="s">
        <v>139</v>
      </c>
      <c r="E1" s="3" t="s">
        <v>148</v>
      </c>
      <c r="F1" s="3" t="s">
        <v>139</v>
      </c>
      <c r="G1" s="3" t="s">
        <v>148</v>
      </c>
      <c r="H1" s="3" t="s">
        <v>155</v>
      </c>
      <c r="I1" s="3" t="s">
        <v>158</v>
      </c>
      <c r="J1" s="3" t="s">
        <v>158</v>
      </c>
      <c r="K1" s="3" t="s">
        <v>163</v>
      </c>
      <c r="L1" s="3" t="s">
        <v>166</v>
      </c>
      <c r="M1" s="3" t="s">
        <v>143</v>
      </c>
    </row>
    <row r="2" spans="1:13" x14ac:dyDescent="0.35">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35">
      <c r="A3" s="5"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Manish K. Jha</cp:lastModifiedBy>
  <dcterms:created xsi:type="dcterms:W3CDTF">2019-05-28T07:07:38Z</dcterms:created>
  <dcterms:modified xsi:type="dcterms:W3CDTF">2026-05-13T07:24:23Z</dcterms:modified>
</cp:coreProperties>
</file>